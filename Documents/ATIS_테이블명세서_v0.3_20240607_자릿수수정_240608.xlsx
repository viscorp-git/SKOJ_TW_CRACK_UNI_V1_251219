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source\repos\SKOH2_jslee_240608\Documents\"/>
    </mc:Choice>
  </mc:AlternateContent>
  <xr:revisionPtr revIDLastSave="0" documentId="13_ncr:1_{2C0C5588-A5A8-4BD1-842F-A07FA6C5AE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dge" sheetId="1" r:id="rId1"/>
    <sheet name="centr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7" i="1"/>
  <c r="H58" i="1"/>
  <c r="H59" i="1"/>
  <c r="H60" i="1"/>
  <c r="H61" i="1"/>
  <c r="H5" i="1"/>
</calcChain>
</file>

<file path=xl/sharedStrings.xml><?xml version="1.0" encoding="utf-8"?>
<sst xmlns="http://schemas.openxmlformats.org/spreadsheetml/2006/main" count="833" uniqueCount="308">
  <si>
    <t>시스템</t>
    <phoneticPr fontId="1" type="noConversion"/>
  </si>
  <si>
    <t>ATIS(edge)</t>
    <phoneticPr fontId="1" type="noConversion"/>
  </si>
  <si>
    <t>테이블명</t>
  </si>
  <si>
    <t>IMG_CLCT_INFO_TB</t>
  </si>
  <si>
    <t>테이블 설명</t>
  </si>
  <si>
    <t>이미지 수집 정보 테이블</t>
  </si>
  <si>
    <t>컬럼명</t>
    <phoneticPr fontId="1" type="noConversion"/>
  </si>
  <si>
    <t>date type</t>
    <phoneticPr fontId="1" type="noConversion"/>
  </si>
  <si>
    <t>length</t>
    <phoneticPr fontId="1" type="noConversion"/>
  </si>
  <si>
    <t>NOT NULL</t>
    <phoneticPr fontId="1" type="noConversion"/>
  </si>
  <si>
    <t>PK</t>
    <phoneticPr fontId="1" type="noConversion"/>
  </si>
  <si>
    <t>comment</t>
    <phoneticPr fontId="1" type="noConversion"/>
  </si>
  <si>
    <t>IMG_CLCT_DTM</t>
  </si>
  <si>
    <t>datetime</t>
  </si>
  <si>
    <t>PRI</t>
  </si>
  <si>
    <t>이미지 수집 일시(2023-07-13 00:00:00.000)</t>
    <phoneticPr fontId="1" type="noConversion"/>
  </si>
  <si>
    <t>CORNER_ID</t>
    <phoneticPr fontId="1" type="noConversion"/>
  </si>
  <si>
    <t>varchar(10)</t>
  </si>
  <si>
    <t>CORNER_JUDGE</t>
    <phoneticPr fontId="1" type="noConversion"/>
  </si>
  <si>
    <t>varchar(20)</t>
  </si>
  <si>
    <t>PRI</t>
    <phoneticPr fontId="1" type="noConversion"/>
  </si>
  <si>
    <t>이미지 촬영 일시</t>
  </si>
  <si>
    <t>IMG_FILE_NM</t>
  </si>
  <si>
    <t>varchar(200)</t>
  </si>
  <si>
    <t>이미지 파일 명</t>
  </si>
  <si>
    <t>ORGL_IMG_VIS_FILE_NM</t>
    <phoneticPr fontId="1" type="noConversion"/>
  </si>
  <si>
    <t>varchar(200)</t>
    <phoneticPr fontId="1" type="noConversion"/>
  </si>
  <si>
    <t>원본 IMAGE_파일명(VISS)</t>
    <phoneticPr fontId="1" type="noConversion"/>
  </si>
  <si>
    <t>IMG_ST_CD</t>
  </si>
  <si>
    <t>varchar(50)</t>
  </si>
  <si>
    <t>이미지 상태 코드</t>
  </si>
  <si>
    <t>BLUTOL_LOC_FILE_NM</t>
    <phoneticPr fontId="1" type="noConversion"/>
  </si>
  <si>
    <t>BLUETOOL 파일명(LOCAL)</t>
    <phoneticPr fontId="1" type="noConversion"/>
  </si>
  <si>
    <t>BLUTOL_VIS_FILE_NM</t>
  </si>
  <si>
    <t>BLUETOOL 파일명(VISS)</t>
    <phoneticPr fontId="1" type="noConversion"/>
  </si>
  <si>
    <t>AI_INSP_DTM</t>
    <phoneticPr fontId="1" type="noConversion"/>
  </si>
  <si>
    <t>datetime</t>
    <phoneticPr fontId="1" type="noConversion"/>
  </si>
  <si>
    <t>AI 판정일시</t>
    <phoneticPr fontId="1" type="noConversion"/>
  </si>
  <si>
    <t>HTMP_LOC_FILE_NM</t>
    <phoneticPr fontId="1" type="noConversion"/>
  </si>
  <si>
    <t>HEATMAP 파일명(LOCAL)</t>
    <phoneticPr fontId="1" type="noConversion"/>
  </si>
  <si>
    <t>HTMP_VIS_FILE_NM</t>
    <phoneticPr fontId="1" type="noConversion"/>
  </si>
  <si>
    <t>HEATMAP 파일명(VISS)</t>
    <phoneticPr fontId="1" type="noConversion"/>
  </si>
  <si>
    <t>BLUTOL_STRD1_X</t>
    <phoneticPr fontId="1" type="noConversion"/>
  </si>
  <si>
    <t>decimal(8,4)</t>
  </si>
  <si>
    <t>BLUETOOL 기준1_X</t>
    <phoneticPr fontId="1" type="noConversion"/>
  </si>
  <si>
    <t>BLUTOL_STRD1_Y</t>
  </si>
  <si>
    <t>BLUETOOL 기준1_Y</t>
    <phoneticPr fontId="1" type="noConversion"/>
  </si>
  <si>
    <t>BLUTOL_STRD2_X</t>
  </si>
  <si>
    <t>BLUETOOL 기준2_X</t>
    <phoneticPr fontId="1" type="noConversion"/>
  </si>
  <si>
    <t>BLUTOL_STRD2_Y</t>
  </si>
  <si>
    <t>BLUETOOL 기준2_Y</t>
    <phoneticPr fontId="1" type="noConversion"/>
  </si>
  <si>
    <t>BLUTOL_ROTAT_ANGL</t>
    <phoneticPr fontId="1" type="noConversion"/>
  </si>
  <si>
    <t>BLUETOOL 회전각도</t>
    <phoneticPr fontId="1" type="noConversion"/>
  </si>
  <si>
    <t>ROI_X</t>
    <phoneticPr fontId="1" type="noConversion"/>
  </si>
  <si>
    <t>ROI_Y</t>
    <phoneticPr fontId="1" type="noConversion"/>
  </si>
  <si>
    <t>ROI_W</t>
    <phoneticPr fontId="1" type="noConversion"/>
  </si>
  <si>
    <t>ROI_WIDTH</t>
    <phoneticPr fontId="1" type="noConversion"/>
  </si>
  <si>
    <t>ROI_HT</t>
    <phoneticPr fontId="1" type="noConversion"/>
  </si>
  <si>
    <t>ROI_HEIGHT</t>
    <phoneticPr fontId="1" type="noConversion"/>
  </si>
  <si>
    <t>ROI1_INFRCE1_RST</t>
  </si>
  <si>
    <t>varchar(50)</t>
    <phoneticPr fontId="1" type="noConversion"/>
  </si>
  <si>
    <t>ROI1_추론1_결과</t>
    <phoneticPr fontId="1" type="noConversion"/>
  </si>
  <si>
    <t>ROI1_INFRCE1_SCOR</t>
  </si>
  <si>
    <t>decimal(8,4)</t>
    <phoneticPr fontId="1" type="noConversion"/>
  </si>
  <si>
    <t>ROI1_추론1_Score</t>
    <phoneticPr fontId="1" type="noConversion"/>
  </si>
  <si>
    <t>ROI1_INFRCE2_RST</t>
  </si>
  <si>
    <t>ROI1_추론2_결과</t>
    <phoneticPr fontId="1" type="noConversion"/>
  </si>
  <si>
    <t>ROI1_INFRCE2_OK_SCOR</t>
  </si>
  <si>
    <t>ROI1_추론2_OK_Score</t>
    <phoneticPr fontId="1" type="noConversion"/>
  </si>
  <si>
    <t>ROI1_추론2_NG1_Score</t>
    <phoneticPr fontId="1" type="noConversion"/>
  </si>
  <si>
    <t>ROI1_추론2_NG2_Score</t>
    <phoneticPr fontId="1" type="noConversion"/>
  </si>
  <si>
    <t>ROI1_INFRCE2_NG3_SCOR</t>
  </si>
  <si>
    <t>ROI1_추론2_NG3_Score</t>
    <phoneticPr fontId="1" type="noConversion"/>
  </si>
  <si>
    <t>ROI1_INFRCE2_NG4_SCOR</t>
  </si>
  <si>
    <t>ROI1_추론2_NG4_Score</t>
    <phoneticPr fontId="1" type="noConversion"/>
  </si>
  <si>
    <t>ROI2_INFRCE1_RST</t>
  </si>
  <si>
    <t>ROI2_추론1_결과</t>
    <phoneticPr fontId="1" type="noConversion"/>
  </si>
  <si>
    <t>ROI2_INFRCE1_SCOR</t>
  </si>
  <si>
    <t>ROI2_추론1_Score</t>
    <phoneticPr fontId="1" type="noConversion"/>
  </si>
  <si>
    <t>ROI2_INFRCE2_RST</t>
  </si>
  <si>
    <t>ROI2_추론2_결과</t>
    <phoneticPr fontId="1" type="noConversion"/>
  </si>
  <si>
    <t>ROI2_INFRCE2_OK_SCOR</t>
  </si>
  <si>
    <t>ROI2_추론2_OK_Score</t>
    <phoneticPr fontId="1" type="noConversion"/>
  </si>
  <si>
    <t>ROI2_INFRCE2_NG1_SCOR</t>
  </si>
  <si>
    <t>ROI2_추론2_NG1_Score</t>
    <phoneticPr fontId="1" type="noConversion"/>
  </si>
  <si>
    <t>ROI2_INFRCE2_NG2_SCOR</t>
  </si>
  <si>
    <t>ROI2_추론2_NG2_Score</t>
    <phoneticPr fontId="1" type="noConversion"/>
  </si>
  <si>
    <t>ROI2_INFRCE2_NG3_SCOR</t>
  </si>
  <si>
    <t>ROI2_추론2_NG3_Score</t>
    <phoneticPr fontId="1" type="noConversion"/>
  </si>
  <si>
    <t>ROI2_INFRCE2_NG4_SCOR</t>
  </si>
  <si>
    <t>ROI2_추론2_NG4_Score</t>
    <phoneticPr fontId="1" type="noConversion"/>
  </si>
  <si>
    <t>ROI3_INFRCE1_RST</t>
  </si>
  <si>
    <t>ROI3_추론1_결과</t>
    <phoneticPr fontId="1" type="noConversion"/>
  </si>
  <si>
    <t>ROI3_INFRCE1_SCOR</t>
  </si>
  <si>
    <t>ROI3_추론1_Score</t>
    <phoneticPr fontId="1" type="noConversion"/>
  </si>
  <si>
    <t>ROI3_INFRCE2_RST</t>
  </si>
  <si>
    <t>ROI3_추론2_결과</t>
    <phoneticPr fontId="1" type="noConversion"/>
  </si>
  <si>
    <t>ROI3_INFRCE2_OK_SCOR</t>
  </si>
  <si>
    <t>ROI3_추론2_OK_Score</t>
    <phoneticPr fontId="1" type="noConversion"/>
  </si>
  <si>
    <t>ROI3_INFRCE2_NG1_SCOR</t>
  </si>
  <si>
    <t>ROI3_추론2_NG1_Score</t>
    <phoneticPr fontId="1" type="noConversion"/>
  </si>
  <si>
    <t>ROI3_INFRCE2_NG2_SCOR</t>
    <phoneticPr fontId="1" type="noConversion"/>
  </si>
  <si>
    <t>ROI3_추론2_NG2_Score</t>
    <phoneticPr fontId="1" type="noConversion"/>
  </si>
  <si>
    <t>ROI3_INFRCE2_NG3_SCOR</t>
  </si>
  <si>
    <t>ROI3_추론2_NG3_Score</t>
    <phoneticPr fontId="1" type="noConversion"/>
  </si>
  <si>
    <t>ROI3_INFRCE2_NG4_SCOR</t>
  </si>
  <si>
    <t>ROI3_추론2_NG4_Score</t>
    <phoneticPr fontId="1" type="noConversion"/>
  </si>
  <si>
    <t>VPDL_MDL_FILE_NM</t>
    <phoneticPr fontId="1" type="noConversion"/>
  </si>
  <si>
    <t>VPDL_MODEL_FILENAME</t>
    <phoneticPr fontId="1" type="noConversion"/>
  </si>
  <si>
    <t>THRHLD</t>
  </si>
  <si>
    <t>추론1_임계치</t>
    <phoneticPr fontId="1" type="noConversion"/>
  </si>
  <si>
    <t>INFRCE2_OK_THRHLD</t>
    <phoneticPr fontId="1" type="noConversion"/>
  </si>
  <si>
    <t>추론2_OK_임계치</t>
    <phoneticPr fontId="1" type="noConversion"/>
  </si>
  <si>
    <t>INFRCE2_NG1_THRHLD</t>
    <phoneticPr fontId="1" type="noConversion"/>
  </si>
  <si>
    <t>추론2_NG1_임계치</t>
    <phoneticPr fontId="1" type="noConversion"/>
  </si>
  <si>
    <t>INFRCE2_NG2_THRHLD</t>
    <phoneticPr fontId="1" type="noConversion"/>
  </si>
  <si>
    <t>추론2_NG2_임계치</t>
    <phoneticPr fontId="1" type="noConversion"/>
  </si>
  <si>
    <t>INFRCE2_NG3_THRHLD</t>
    <phoneticPr fontId="1" type="noConversion"/>
  </si>
  <si>
    <t>추론2_NG3_임계치</t>
    <phoneticPr fontId="1" type="noConversion"/>
  </si>
  <si>
    <t>INFRCE2_NG4_THRHLD</t>
    <phoneticPr fontId="1" type="noConversion"/>
  </si>
  <si>
    <t>추론2_NG4_임계치</t>
    <phoneticPr fontId="1" type="noConversion"/>
  </si>
  <si>
    <t>RGSTR_ID</t>
  </si>
  <si>
    <t>varchar(20)</t>
    <phoneticPr fontId="1" type="noConversion"/>
  </si>
  <si>
    <t>최초 등록 ID</t>
    <phoneticPr fontId="1" type="noConversion"/>
  </si>
  <si>
    <t>RGST_DTM</t>
  </si>
  <si>
    <t>최초 등록 일시</t>
    <phoneticPr fontId="1" type="noConversion"/>
  </si>
  <si>
    <t>LAST_UPDR_ID</t>
  </si>
  <si>
    <t>최종 수정 ID</t>
    <phoneticPr fontId="1" type="noConversion"/>
  </si>
  <si>
    <t>LAST_UPD_DTM</t>
  </si>
  <si>
    <t>최종 수정 일시</t>
    <phoneticPr fontId="1" type="noConversion"/>
  </si>
  <si>
    <t xml:space="preserve">_RST 컬럼에 대한 결과 코드 </t>
    <phoneticPr fontId="1" type="noConversion"/>
  </si>
  <si>
    <t>AI_INSP_RSLT_CD_NG_01</t>
    <phoneticPr fontId="1" type="noConversion"/>
  </si>
  <si>
    <t>NG</t>
  </si>
  <si>
    <t>AI_INSP_RSLT_CD_OK_01</t>
  </si>
  <si>
    <t>OK</t>
  </si>
  <si>
    <t>IMG_ST_CD에 대한 이미지 상태 코드</t>
    <phoneticPr fontId="1" type="noConversion"/>
  </si>
  <si>
    <t>CLCT_ST_CD_01</t>
  </si>
  <si>
    <t>Image collected</t>
  </si>
  <si>
    <t>CLCT_ST_CD_02</t>
  </si>
  <si>
    <t>AI inspection request</t>
  </si>
  <si>
    <t>AI inspection completed</t>
  </si>
  <si>
    <t>CLCT_ST_CD_04</t>
  </si>
  <si>
    <t>Operator inspection completed</t>
  </si>
  <si>
    <t>CLCT_ST_CD_05</t>
  </si>
  <si>
    <t>central send completed</t>
  </si>
  <si>
    <t>AXIS(Central)</t>
    <phoneticPr fontId="1" type="noConversion"/>
  </si>
  <si>
    <t>admin_insp_otpt_tb</t>
  </si>
  <si>
    <t>admin 판정 OUTPUT 테이블</t>
    <phoneticPr fontId="1" type="noConversion"/>
  </si>
  <si>
    <t>Comment</t>
    <phoneticPr fontId="1" type="noConversion"/>
  </si>
  <si>
    <t>img_file_nm</t>
  </si>
  <si>
    <t>varchar</t>
  </si>
  <si>
    <t>NO</t>
  </si>
  <si>
    <t>PK</t>
  </si>
  <si>
    <t>이미지  파일 명</t>
  </si>
  <si>
    <t>admin_seg_codn</t>
  </si>
  <si>
    <t>text</t>
  </si>
  <si>
    <t>YES</t>
  </si>
  <si>
    <t>admin 세그먼트 설정 값</t>
  </si>
  <si>
    <t>admin_labl_txt</t>
  </si>
  <si>
    <t>admin 라벨링 메모</t>
  </si>
  <si>
    <t>rgstr_id</t>
  </si>
  <si>
    <t>최초 등록 ID</t>
  </si>
  <si>
    <t>rgst_dtm</t>
  </si>
  <si>
    <t>timestamp</t>
  </si>
  <si>
    <t>최초 등록 일시</t>
  </si>
  <si>
    <t>last_updr_id</t>
  </si>
  <si>
    <t>최종 수정 ID</t>
  </si>
  <si>
    <t>last_upd_dtm</t>
  </si>
  <si>
    <t>최종 수정 일시</t>
  </si>
  <si>
    <t>comm_cd_lang_attr_tb</t>
  </si>
  <si>
    <t>공통 코드 언어 속성 테이블</t>
    <phoneticPr fontId="1" type="noConversion"/>
  </si>
  <si>
    <t>cd</t>
  </si>
  <si>
    <t>코드</t>
  </si>
  <si>
    <t>lang_cd</t>
  </si>
  <si>
    <t>언어 코드</t>
  </si>
  <si>
    <t>cd_nm</t>
  </si>
  <si>
    <t>코드 명</t>
  </si>
  <si>
    <t>cd_attr1</t>
  </si>
  <si>
    <t>코드 속성1</t>
  </si>
  <si>
    <t>cd_attr2</t>
  </si>
  <si>
    <t>코드 속성2</t>
  </si>
  <si>
    <t>cd_attr3</t>
  </si>
  <si>
    <t>코드 속성3</t>
  </si>
  <si>
    <t>comm_cd_tb</t>
  </si>
  <si>
    <t>공통 코드 테이블</t>
    <phoneticPr fontId="1" type="noConversion"/>
  </si>
  <si>
    <t>lcl_cd</t>
  </si>
  <si>
    <t>대분류 코드</t>
  </si>
  <si>
    <t>mcl_cd</t>
  </si>
  <si>
    <t>중분류 코드</t>
  </si>
  <si>
    <t>scl_cd</t>
  </si>
  <si>
    <t>소분류 코드</t>
  </si>
  <si>
    <t>use_yn</t>
  </si>
  <si>
    <t>사용 유무</t>
  </si>
  <si>
    <t>cd_sort</t>
  </si>
  <si>
    <t>int2</t>
  </si>
  <si>
    <t>정렬 순서</t>
  </si>
  <si>
    <t>cd_desc</t>
  </si>
  <si>
    <t>코드 설명</t>
  </si>
  <si>
    <t>edge_svc_app_info_tb</t>
  </si>
  <si>
    <t>edge 서비스 app 정보 테이블</t>
    <phoneticPr fontId="1" type="noConversion"/>
  </si>
  <si>
    <t>line_num</t>
  </si>
  <si>
    <t>라인 번호</t>
  </si>
  <si>
    <t>edge_app_ver</t>
  </si>
  <si>
    <t>numeric</t>
  </si>
  <si>
    <t>edge app version</t>
  </si>
  <si>
    <t>aply_strt_dtm</t>
  </si>
  <si>
    <t>적용 시작 일시</t>
  </si>
  <si>
    <t>aply_end_dtm</t>
  </si>
  <si>
    <t>적용 종료 일시</t>
  </si>
  <si>
    <t>edge_ip</t>
  </si>
  <si>
    <t>edge ip</t>
  </si>
  <si>
    <t>edge_if_ep</t>
  </si>
  <si>
    <t>edge if end point</t>
  </si>
  <si>
    <t>engnr_insp_otpt_tb</t>
  </si>
  <si>
    <t>엔지니어 판정 OUTPUT 테이블</t>
    <phoneticPr fontId="1" type="noConversion"/>
  </si>
  <si>
    <t>engnr_seg_codn</t>
  </si>
  <si>
    <t>엔지니어 세그먼트 설정값</t>
  </si>
  <si>
    <t>engnr_labl_txt</t>
  </si>
  <si>
    <t>엔지니어 라벨링 메모</t>
  </si>
  <si>
    <t>img_clct_info_tb</t>
    <phoneticPr fontId="1" type="noConversion"/>
  </si>
  <si>
    <t>이미지 수집 정보 테이블</t>
    <phoneticPr fontId="1" type="noConversion"/>
  </si>
  <si>
    <t>img_clct_dtm</t>
  </si>
  <si>
    <t>이미지 수집 일시</t>
  </si>
  <si>
    <t>stckr_id</t>
  </si>
  <si>
    <t>Stacker No</t>
  </si>
  <si>
    <t>cell_id</t>
  </si>
  <si>
    <t>cell ID</t>
  </si>
  <si>
    <t>conr_no</t>
  </si>
  <si>
    <t>corner No</t>
  </si>
  <si>
    <t>img_taken_dtm</t>
  </si>
  <si>
    <t>lot_no</t>
  </si>
  <si>
    <t>lot No</t>
  </si>
  <si>
    <t>lot_dt</t>
  </si>
  <si>
    <t>lot 일자</t>
  </si>
  <si>
    <t>mfact_line_num</t>
  </si>
  <si>
    <t>생산 라인 번호</t>
  </si>
  <si>
    <t>img_st_cd</t>
  </si>
  <si>
    <t>ai_insp_dtm</t>
  </si>
  <si>
    <t>AI 판정 일시</t>
  </si>
  <si>
    <t>ai_insp_rslt_cd</t>
  </si>
  <si>
    <t>AI 판정 결과 코드</t>
  </si>
  <si>
    <t>ai_insp_rslt_scor</t>
  </si>
  <si>
    <t>AI 판정 결과 스코어</t>
  </si>
  <si>
    <t>ai_insp_abn_img_cl_cd</t>
  </si>
  <si>
    <t>AI 판정 비정상 이미지 유형 코드</t>
  </si>
  <si>
    <t>img_insp_info_tb</t>
  </si>
  <si>
    <t>이미지 판정 정보 테이블</t>
    <phoneticPr fontId="1" type="noConversion"/>
  </si>
  <si>
    <t>lot 일시</t>
  </si>
  <si>
    <t>opertr_emp_num</t>
  </si>
  <si>
    <t>작업자 사원 번호</t>
  </si>
  <si>
    <t>opertr_insp_dtm</t>
  </si>
  <si>
    <t>작업자 판정 일시</t>
  </si>
  <si>
    <t>opertr_insp_rslt_cd</t>
  </si>
  <si>
    <t>작업자 판정 결과 코드</t>
  </si>
  <si>
    <t>opertr_insp_ng_cl_cd</t>
  </si>
  <si>
    <t>작업자 판정 오류 유형 코드</t>
  </si>
  <si>
    <t>engnr_emp_num</t>
  </si>
  <si>
    <t>엔지니어 사원 번호</t>
  </si>
  <si>
    <t>engnr_insp_dtm</t>
  </si>
  <si>
    <t>엔지니어 판정 일시</t>
  </si>
  <si>
    <t>engnr_insp_rslt_cd</t>
  </si>
  <si>
    <t>엔지니어 판정 결과 코드</t>
  </si>
  <si>
    <t>engnr_insp_ng_cl_cd</t>
  </si>
  <si>
    <t>엔지니어 판정 오류 유형 코드</t>
  </si>
  <si>
    <t>admin_emp_num</t>
  </si>
  <si>
    <t>admin 사원 번호</t>
  </si>
  <si>
    <t>admin_insp_dtm</t>
  </si>
  <si>
    <t>admin 판정 일시</t>
  </si>
  <si>
    <t>admin_insp_rslt_cd</t>
  </si>
  <si>
    <t>admin 판정 결과 코드</t>
  </si>
  <si>
    <t>admin_insp_ng_cl_cd</t>
  </si>
  <si>
    <t>admin 판정 오류 유형 코드</t>
  </si>
  <si>
    <t>opertr_info_tb</t>
  </si>
  <si>
    <t>작업자 정보 테이블</t>
    <phoneticPr fontId="1" type="noConversion"/>
  </si>
  <si>
    <t>작업자 사원번호</t>
  </si>
  <si>
    <t>opertr_cl_cd</t>
  </si>
  <si>
    <t>작업자 유형 코드</t>
  </si>
  <si>
    <t>opertr_nm</t>
  </si>
  <si>
    <t>작업자 명</t>
  </si>
  <si>
    <t>op_shft_cd</t>
  </si>
  <si>
    <t>작업 쉬프트 코드</t>
  </si>
  <si>
    <t>login_pwd</t>
  </si>
  <si>
    <t>로그인 패스워드</t>
  </si>
  <si>
    <t>last_login_dtm</t>
  </si>
  <si>
    <t>최종접속일시</t>
  </si>
  <si>
    <t>opertr_insp_otpt_tb</t>
  </si>
  <si>
    <t>작업자 판정 OUTPUT 테이블</t>
    <phoneticPr fontId="1" type="noConversion"/>
  </si>
  <si>
    <t>opertr_seg_codn</t>
  </si>
  <si>
    <t>작업자 세그먼트 설정값</t>
  </si>
  <si>
    <t>opertr_labl_txt</t>
  </si>
  <si>
    <t>작업자 라벨링 메모</t>
  </si>
  <si>
    <t>opertr_shft_chg_hst_tb</t>
  </si>
  <si>
    <t>작업자 쉬프트 변경 이력 테이블</t>
    <phoneticPr fontId="1" type="noConversion"/>
  </si>
  <si>
    <t>CELL_ID</t>
    <phoneticPr fontId="1" type="noConversion"/>
  </si>
  <si>
    <t>varchar(20)</t>
    <phoneticPr fontId="1" type="noConversion"/>
  </si>
  <si>
    <t>NOT NULL</t>
    <phoneticPr fontId="1" type="noConversion"/>
  </si>
  <si>
    <t>PRI</t>
    <phoneticPr fontId="1" type="noConversion"/>
  </si>
  <si>
    <t>CELL ID</t>
    <phoneticPr fontId="1" type="noConversion"/>
  </si>
  <si>
    <t>추가</t>
    <phoneticPr fontId="1" type="noConversion"/>
  </si>
  <si>
    <t>수정</t>
    <phoneticPr fontId="1" type="noConversion"/>
  </si>
  <si>
    <t>변수 초기화</t>
    <phoneticPr fontId="1" type="noConversion"/>
  </si>
  <si>
    <t>자료형</t>
    <phoneticPr fontId="1" type="noConversion"/>
  </si>
  <si>
    <t>decimal(8,4)</t>
    <phoneticPr fontId="1" type="noConversion"/>
  </si>
  <si>
    <t>IMG_TAKEN_DTM</t>
    <phoneticPr fontId="1" type="noConversion"/>
  </si>
  <si>
    <t>from</t>
    <phoneticPr fontId="1" type="noConversion"/>
  </si>
  <si>
    <t>ROI1_INFRCE2_NG1_SCOR</t>
    <phoneticPr fontId="1" type="noConversion"/>
  </si>
  <si>
    <t>ROI1_INFRCE2_NG2_SCOR</t>
    <phoneticPr fontId="1" type="noConversion"/>
  </si>
  <si>
    <t>CLCT_ST_CD_03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</si>
</sst>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20" fontId="4" fillId="0" borderId="0" xfId="0" applyNumberFormat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7" fillId="4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7" fillId="5" borderId="1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zoomScale="175" zoomScaleNormal="175" workbookViewId="0">
      <selection activeCell="A64" sqref="A64"/>
    </sheetView>
  </sheetViews>
  <sheetFormatPr defaultRowHeight="13.5" x14ac:dyDescent="0.3"/>
  <cols>
    <col min="1" max="1" width="24.125" style="3" customWidth="1"/>
    <col min="2" max="2" width="11.875" style="6" customWidth="1"/>
    <col min="3" max="3" width="9.375" style="6" customWidth="1"/>
    <col min="4" max="4" width="9.875" style="6" customWidth="1"/>
    <col min="5" max="5" width="3.875" style="3" customWidth="1"/>
    <col min="6" max="6" width="35.25" style="3" customWidth="1"/>
    <col min="7" max="7" width="9" style="3"/>
    <col min="8" max="8" width="85" style="12" bestFit="1" customWidth="1"/>
    <col min="9" max="9" width="9" style="12"/>
    <col min="10" max="16384" width="9" style="3"/>
  </cols>
  <sheetData>
    <row r="1" spans="1:9" x14ac:dyDescent="0.3">
      <c r="A1" s="11" t="s">
        <v>0</v>
      </c>
      <c r="B1" s="27" t="s">
        <v>1</v>
      </c>
      <c r="C1" s="27"/>
      <c r="D1" s="27"/>
      <c r="E1" s="27"/>
      <c r="F1" s="12"/>
      <c r="G1" s="4"/>
    </row>
    <row r="2" spans="1:9" x14ac:dyDescent="0.3">
      <c r="A2" s="11" t="s">
        <v>2</v>
      </c>
      <c r="B2" s="27" t="s">
        <v>3</v>
      </c>
      <c r="C2" s="27"/>
      <c r="D2" s="27"/>
      <c r="E2" s="27"/>
      <c r="F2" s="12"/>
    </row>
    <row r="3" spans="1:9" x14ac:dyDescent="0.3">
      <c r="A3" s="11" t="s">
        <v>4</v>
      </c>
      <c r="B3" s="27" t="s">
        <v>5</v>
      </c>
      <c r="C3" s="27"/>
      <c r="D3" s="27"/>
      <c r="E3" s="27"/>
      <c r="F3" s="12"/>
    </row>
    <row r="4" spans="1:9" x14ac:dyDescent="0.3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H4" s="12" t="s">
        <v>300</v>
      </c>
      <c r="I4" s="12" t="s">
        <v>301</v>
      </c>
    </row>
    <row r="5" spans="1:9" x14ac:dyDescent="0.3">
      <c r="A5" s="14" t="s">
        <v>12</v>
      </c>
      <c r="B5" s="15" t="s">
        <v>13</v>
      </c>
      <c r="C5" s="15" t="s">
        <v>9</v>
      </c>
      <c r="D5" s="15" t="s">
        <v>9</v>
      </c>
      <c r="E5" s="15" t="s">
        <v>14</v>
      </c>
      <c r="F5" s="14" t="s">
        <v>15</v>
      </c>
      <c r="H5" s="12" t="str">
        <f>A5&amp;    IF(LEFT(B5,3)="dat"," = DateTime.Now;",IF(LEFT(B5,3)="var"," = """";",IF(LEFT(B5,3)="dec"," = 0;",""))) &amp; "   // " &amp;F5 &amp; IF(LEN(D5) &gt; 1,"  / " &amp;D5,"") &amp; IF(LEN(E5) &gt; 1,"  / " &amp;E5,"")</f>
        <v>IMG_CLCT_DTM = DateTime.Now;   // 이미지 수집 일시(2023-07-13 00:00:00.000)  / NOT NULL  / PRI</v>
      </c>
      <c r="I5" s="12" t="str">
        <f>"public " &amp; IF(LEFT(B5,3)="dat","DateTime",IF(LEFT(B5,3)="var","string",IF(LEFT(B5,3)="dec","double",""))) &amp; " " &amp; A5 &amp;";"   &amp; "   // " &amp;F5 &amp; IF(LEN(D5) &gt; 1,"  / " &amp;D5,"") &amp; IF(LEN(E5) &gt; 1,"  / " &amp;E5,"")</f>
        <v>public DateTime IMG_CLCT_DTM;   // 이미지 수집 일시(2023-07-13 00:00:00.000)  / NOT NULL  / PRI</v>
      </c>
    </row>
    <row r="6" spans="1:9" x14ac:dyDescent="0.3">
      <c r="A6" s="14" t="s">
        <v>16</v>
      </c>
      <c r="B6" s="15" t="s">
        <v>17</v>
      </c>
      <c r="C6" s="15">
        <v>10</v>
      </c>
      <c r="D6" s="15" t="s">
        <v>9</v>
      </c>
      <c r="E6" s="15" t="s">
        <v>14</v>
      </c>
      <c r="F6" s="14" t="s">
        <v>16</v>
      </c>
      <c r="H6" s="12" t="str">
        <f t="shared" ref="H6:H61" si="0">A6&amp;    IF(LEFT(B6,3)="dat"," = DateTime.Now;",IF(LEFT(B6,3)="var"," = """";",IF(LEFT(B6,3)="dec"," = 0;",""))) &amp; "   // " &amp;F6 &amp; IF(LEN(D6) &gt; 1,"  / " &amp;D6,"") &amp; IF(LEN(E6) &gt; 1,"  / " &amp;E6,"")</f>
        <v>CORNER_ID = "";   // CORNER_ID  / NOT NULL  / PRI</v>
      </c>
      <c r="I6" s="12" t="str">
        <f t="shared" ref="I6:I61" si="1">"public " &amp; IF(LEFT(B6,3)="dat","DateTime",IF(LEFT(B6,3)="var","string",IF(LEFT(B6,3)="dec","double",""))) &amp; " " &amp; A6 &amp;";"   &amp; "   // " &amp;F6 &amp; IF(LEN(D6) &gt; 1,"  / " &amp;D6,"") &amp; IF(LEN(E6) &gt; 1,"  / " &amp;E6,"")</f>
        <v>public string CORNER_ID;   // CORNER_ID  / NOT NULL  / PRI</v>
      </c>
    </row>
    <row r="7" spans="1:9" x14ac:dyDescent="0.3">
      <c r="A7" s="14" t="s">
        <v>18</v>
      </c>
      <c r="B7" s="15" t="s">
        <v>19</v>
      </c>
      <c r="C7" s="15">
        <v>20</v>
      </c>
      <c r="D7" s="15" t="s">
        <v>9</v>
      </c>
      <c r="E7" s="15" t="s">
        <v>14</v>
      </c>
      <c r="F7" s="14" t="s">
        <v>18</v>
      </c>
      <c r="H7" s="12" t="str">
        <f t="shared" si="0"/>
        <v>CORNER_JUDGE = "";   // CORNER_JUDGE  / NOT NULL  / PRI</v>
      </c>
      <c r="I7" s="12" t="str">
        <f t="shared" si="1"/>
        <v>public string CORNER_JUDGE;   // CORNER_JUDGE  / NOT NULL  / PRI</v>
      </c>
    </row>
    <row r="8" spans="1:9" x14ac:dyDescent="0.3">
      <c r="A8" s="14" t="s">
        <v>303</v>
      </c>
      <c r="B8" s="15" t="s">
        <v>19</v>
      </c>
      <c r="C8" s="15">
        <v>20</v>
      </c>
      <c r="D8" s="15" t="s">
        <v>9</v>
      </c>
      <c r="E8" s="15" t="s">
        <v>20</v>
      </c>
      <c r="F8" s="14" t="s">
        <v>21</v>
      </c>
      <c r="H8" s="12" t="str">
        <f t="shared" si="0"/>
        <v>IMG_TAKEN_DTM = "";   // 이미지 촬영 일시  / NOT NULL  / PRI</v>
      </c>
      <c r="I8" s="12" t="str">
        <f t="shared" si="1"/>
        <v>public string IMG_TAKEN_DTM;   // 이미지 촬영 일시  / NOT NULL  / PRI</v>
      </c>
    </row>
    <row r="9" spans="1:9" x14ac:dyDescent="0.3">
      <c r="A9" s="26" t="s">
        <v>293</v>
      </c>
      <c r="B9" s="25" t="s">
        <v>294</v>
      </c>
      <c r="C9" s="25">
        <v>20</v>
      </c>
      <c r="D9" s="25" t="s">
        <v>295</v>
      </c>
      <c r="E9" s="25" t="s">
        <v>296</v>
      </c>
      <c r="F9" s="26" t="s">
        <v>297</v>
      </c>
      <c r="G9" s="3" t="s">
        <v>298</v>
      </c>
      <c r="H9" s="12" t="str">
        <f t="shared" si="0"/>
        <v>CELL_ID = "";   // CELL ID  / NOT NULL  / PRI</v>
      </c>
      <c r="I9" s="12" t="str">
        <f t="shared" si="1"/>
        <v>public string CELL_ID;   // CELL ID  / NOT NULL  / PRI</v>
      </c>
    </row>
    <row r="10" spans="1:9" x14ac:dyDescent="0.3">
      <c r="A10" s="14" t="s">
        <v>22</v>
      </c>
      <c r="B10" s="15" t="s">
        <v>23</v>
      </c>
      <c r="C10" s="15">
        <v>200</v>
      </c>
      <c r="D10" s="15" t="s">
        <v>9</v>
      </c>
      <c r="E10" s="15"/>
      <c r="F10" s="14" t="s">
        <v>24</v>
      </c>
      <c r="H10" s="12" t="str">
        <f t="shared" si="0"/>
        <v>IMG_FILE_NM = "";   // 이미지 파일 명  / NOT NULL</v>
      </c>
      <c r="I10" s="12" t="str">
        <f t="shared" si="1"/>
        <v>public string IMG_FILE_NM;   // 이미지 파일 명  / NOT NULL</v>
      </c>
    </row>
    <row r="11" spans="1:9" x14ac:dyDescent="0.3">
      <c r="A11" s="14" t="s">
        <v>25</v>
      </c>
      <c r="B11" s="15" t="s">
        <v>26</v>
      </c>
      <c r="C11" s="15">
        <v>200</v>
      </c>
      <c r="D11" s="15" t="s">
        <v>9</v>
      </c>
      <c r="E11" s="15"/>
      <c r="F11" s="14" t="s">
        <v>27</v>
      </c>
      <c r="H11" s="12" t="str">
        <f t="shared" si="0"/>
        <v>ORGL_IMG_VIS_FILE_NM = "";   // 원본 IMAGE_파일명(VISS)  / NOT NULL</v>
      </c>
      <c r="I11" s="12" t="str">
        <f t="shared" si="1"/>
        <v>public string ORGL_IMG_VIS_FILE_NM;   // 원본 IMAGE_파일명(VISS)  / NOT NULL</v>
      </c>
    </row>
    <row r="12" spans="1:9" x14ac:dyDescent="0.3">
      <c r="A12" s="14" t="s">
        <v>28</v>
      </c>
      <c r="B12" s="15" t="s">
        <v>29</v>
      </c>
      <c r="C12" s="15">
        <v>50</v>
      </c>
      <c r="D12" s="15" t="s">
        <v>9</v>
      </c>
      <c r="E12" s="15"/>
      <c r="F12" s="19" t="s">
        <v>30</v>
      </c>
      <c r="H12" s="12" t="str">
        <f t="shared" si="0"/>
        <v>IMG_ST_CD = "";   // 이미지 상태 코드  / NOT NULL</v>
      </c>
      <c r="I12" s="12" t="str">
        <f t="shared" si="1"/>
        <v>public string IMG_ST_CD;   // 이미지 상태 코드  / NOT NULL</v>
      </c>
    </row>
    <row r="13" spans="1:9" x14ac:dyDescent="0.3">
      <c r="A13" s="14" t="s">
        <v>31</v>
      </c>
      <c r="B13" s="15" t="s">
        <v>26</v>
      </c>
      <c r="C13" s="15">
        <v>200</v>
      </c>
      <c r="D13" s="15" t="s">
        <v>9</v>
      </c>
      <c r="E13" s="15"/>
      <c r="F13" s="14" t="s">
        <v>32</v>
      </c>
      <c r="H13" s="12" t="str">
        <f t="shared" si="0"/>
        <v>BLUTOL_LOC_FILE_NM = "";   // BLUETOOL 파일명(LOCAL)  / NOT NULL</v>
      </c>
      <c r="I13" s="12" t="str">
        <f t="shared" si="1"/>
        <v>public string BLUTOL_LOC_FILE_NM;   // BLUETOOL 파일명(LOCAL)  / NOT NULL</v>
      </c>
    </row>
    <row r="14" spans="1:9" x14ac:dyDescent="0.3">
      <c r="A14" s="14" t="s">
        <v>33</v>
      </c>
      <c r="B14" s="15" t="s">
        <v>26</v>
      </c>
      <c r="C14" s="15">
        <v>200</v>
      </c>
      <c r="D14" s="15" t="s">
        <v>9</v>
      </c>
      <c r="E14" s="15"/>
      <c r="F14" s="14" t="s">
        <v>34</v>
      </c>
      <c r="H14" s="12" t="str">
        <f t="shared" si="0"/>
        <v>BLUTOL_VIS_FILE_NM = "";   // BLUETOOL 파일명(VISS)  / NOT NULL</v>
      </c>
      <c r="I14" s="12" t="str">
        <f t="shared" si="1"/>
        <v>public string BLUTOL_VIS_FILE_NM;   // BLUETOOL 파일명(VISS)  / NOT NULL</v>
      </c>
    </row>
    <row r="15" spans="1:9" x14ac:dyDescent="0.3">
      <c r="A15" s="14" t="s">
        <v>35</v>
      </c>
      <c r="B15" s="15" t="s">
        <v>36</v>
      </c>
      <c r="C15" s="15"/>
      <c r="D15" s="15"/>
      <c r="E15" s="15"/>
      <c r="F15" s="14" t="s">
        <v>37</v>
      </c>
      <c r="H15" s="12" t="str">
        <f t="shared" si="0"/>
        <v>AI_INSP_DTM = DateTime.Now;   // AI 판정일시</v>
      </c>
      <c r="I15" s="12" t="str">
        <f t="shared" si="1"/>
        <v>public DateTime AI_INSP_DTM;   // AI 판정일시</v>
      </c>
    </row>
    <row r="16" spans="1:9" x14ac:dyDescent="0.3">
      <c r="A16" s="14" t="s">
        <v>38</v>
      </c>
      <c r="B16" s="15" t="s">
        <v>26</v>
      </c>
      <c r="C16" s="15">
        <v>200</v>
      </c>
      <c r="D16" s="15"/>
      <c r="E16" s="15"/>
      <c r="F16" s="14" t="s">
        <v>39</v>
      </c>
      <c r="H16" s="12" t="str">
        <f t="shared" si="0"/>
        <v>HTMP_LOC_FILE_NM = "";   // HEATMAP 파일명(LOCAL)</v>
      </c>
      <c r="I16" s="12" t="str">
        <f t="shared" si="1"/>
        <v>public string HTMP_LOC_FILE_NM;   // HEATMAP 파일명(LOCAL)</v>
      </c>
    </row>
    <row r="17" spans="1:9" x14ac:dyDescent="0.3">
      <c r="A17" s="14" t="s">
        <v>40</v>
      </c>
      <c r="B17" s="15" t="s">
        <v>26</v>
      </c>
      <c r="C17" s="15">
        <v>200</v>
      </c>
      <c r="D17" s="15"/>
      <c r="E17" s="15"/>
      <c r="F17" s="14" t="s">
        <v>41</v>
      </c>
      <c r="G17" s="28" t="s">
        <v>299</v>
      </c>
      <c r="H17" s="12" t="str">
        <f t="shared" si="0"/>
        <v>HTMP_VIS_FILE_NM = "";   // HEATMAP 파일명(VISS)</v>
      </c>
      <c r="I17" s="12" t="str">
        <f t="shared" si="1"/>
        <v>public string HTMP_VIS_FILE_NM;   // HEATMAP 파일명(VISS)</v>
      </c>
    </row>
    <row r="18" spans="1:9" x14ac:dyDescent="0.3">
      <c r="A18" s="14" t="s">
        <v>42</v>
      </c>
      <c r="B18" s="25" t="s">
        <v>43</v>
      </c>
      <c r="C18" s="15">
        <v>8</v>
      </c>
      <c r="D18" s="15"/>
      <c r="E18" s="15"/>
      <c r="F18" s="14" t="s">
        <v>44</v>
      </c>
      <c r="G18" s="28"/>
      <c r="H18" s="12" t="str">
        <f t="shared" si="0"/>
        <v>BLUTOL_STRD1_X = 0;   // BLUETOOL 기준1_X</v>
      </c>
      <c r="I18" s="12" t="str">
        <f t="shared" si="1"/>
        <v>public double BLUTOL_STRD1_X;   // BLUETOOL 기준1_X</v>
      </c>
    </row>
    <row r="19" spans="1:9" x14ac:dyDescent="0.3">
      <c r="A19" s="14" t="s">
        <v>45</v>
      </c>
      <c r="B19" s="25" t="s">
        <v>43</v>
      </c>
      <c r="C19" s="15">
        <v>8</v>
      </c>
      <c r="D19" s="15"/>
      <c r="E19" s="15"/>
      <c r="F19" s="14" t="s">
        <v>46</v>
      </c>
      <c r="G19" s="28"/>
      <c r="H19" s="12" t="str">
        <f t="shared" si="0"/>
        <v>BLUTOL_STRD1_Y = 0;   // BLUETOOL 기준1_Y</v>
      </c>
      <c r="I19" s="12" t="str">
        <f t="shared" si="1"/>
        <v>public double BLUTOL_STRD1_Y;   // BLUETOOL 기준1_Y</v>
      </c>
    </row>
    <row r="20" spans="1:9" x14ac:dyDescent="0.3">
      <c r="A20" s="14" t="s">
        <v>47</v>
      </c>
      <c r="B20" s="25" t="s">
        <v>43</v>
      </c>
      <c r="C20" s="15">
        <v>8</v>
      </c>
      <c r="D20" s="15"/>
      <c r="E20" s="15"/>
      <c r="F20" s="14" t="s">
        <v>48</v>
      </c>
      <c r="G20" s="28"/>
      <c r="H20" s="12" t="str">
        <f t="shared" si="0"/>
        <v>BLUTOL_STRD2_X = 0;   // BLUETOOL 기준2_X</v>
      </c>
      <c r="I20" s="12" t="str">
        <f t="shared" si="1"/>
        <v>public double BLUTOL_STRD2_X;   // BLUETOOL 기준2_X</v>
      </c>
    </row>
    <row r="21" spans="1:9" x14ac:dyDescent="0.3">
      <c r="A21" s="14" t="s">
        <v>49</v>
      </c>
      <c r="B21" s="25" t="s">
        <v>43</v>
      </c>
      <c r="C21" s="15">
        <v>8</v>
      </c>
      <c r="D21" s="15"/>
      <c r="E21" s="15"/>
      <c r="F21" s="14" t="s">
        <v>50</v>
      </c>
      <c r="G21" s="28"/>
      <c r="H21" s="12" t="str">
        <f t="shared" si="0"/>
        <v>BLUTOL_STRD2_Y = 0;   // BLUETOOL 기준2_Y</v>
      </c>
      <c r="I21" s="12" t="str">
        <f t="shared" si="1"/>
        <v>public double BLUTOL_STRD2_Y;   // BLUETOOL 기준2_Y</v>
      </c>
    </row>
    <row r="22" spans="1:9" x14ac:dyDescent="0.3">
      <c r="A22" s="14" t="s">
        <v>51</v>
      </c>
      <c r="B22" s="25" t="s">
        <v>43</v>
      </c>
      <c r="C22" s="15">
        <v>8</v>
      </c>
      <c r="D22" s="15"/>
      <c r="E22" s="15"/>
      <c r="F22" s="14" t="s">
        <v>52</v>
      </c>
      <c r="G22" s="28"/>
      <c r="H22" s="12" t="str">
        <f t="shared" si="0"/>
        <v>BLUTOL_ROTAT_ANGL = 0;   // BLUETOOL 회전각도</v>
      </c>
      <c r="I22" s="12" t="str">
        <f t="shared" si="1"/>
        <v>public double BLUTOL_ROTAT_ANGL;   // BLUETOOL 회전각도</v>
      </c>
    </row>
    <row r="23" spans="1:9" x14ac:dyDescent="0.3">
      <c r="A23" s="14" t="s">
        <v>53</v>
      </c>
      <c r="B23" s="25" t="s">
        <v>43</v>
      </c>
      <c r="C23" s="15">
        <v>8</v>
      </c>
      <c r="D23" s="15" t="s">
        <v>9</v>
      </c>
      <c r="E23" s="15"/>
      <c r="F23" s="14" t="s">
        <v>53</v>
      </c>
      <c r="G23" s="28"/>
      <c r="H23" s="12" t="str">
        <f t="shared" si="0"/>
        <v>ROI_X = 0;   // ROI_X  / NOT NULL</v>
      </c>
      <c r="I23" s="12" t="str">
        <f t="shared" si="1"/>
        <v>public double ROI_X;   // ROI_X  / NOT NULL</v>
      </c>
    </row>
    <row r="24" spans="1:9" x14ac:dyDescent="0.3">
      <c r="A24" s="14" t="s">
        <v>54</v>
      </c>
      <c r="B24" s="25" t="s">
        <v>43</v>
      </c>
      <c r="C24" s="15">
        <v>8</v>
      </c>
      <c r="D24" s="15" t="s">
        <v>9</v>
      </c>
      <c r="E24" s="15"/>
      <c r="F24" s="14" t="s">
        <v>54</v>
      </c>
      <c r="G24" s="28"/>
      <c r="H24" s="12" t="str">
        <f t="shared" si="0"/>
        <v>ROI_Y = 0;   // ROI_Y  / NOT NULL</v>
      </c>
      <c r="I24" s="12" t="str">
        <f t="shared" si="1"/>
        <v>public double ROI_Y;   // ROI_Y  / NOT NULL</v>
      </c>
    </row>
    <row r="25" spans="1:9" x14ac:dyDescent="0.3">
      <c r="A25" s="14" t="s">
        <v>55</v>
      </c>
      <c r="B25" s="25" t="s">
        <v>43</v>
      </c>
      <c r="C25" s="15">
        <v>8</v>
      </c>
      <c r="D25" s="15" t="s">
        <v>9</v>
      </c>
      <c r="E25" s="15"/>
      <c r="F25" s="14" t="s">
        <v>56</v>
      </c>
      <c r="G25" s="28"/>
      <c r="H25" s="12" t="str">
        <f t="shared" si="0"/>
        <v>ROI_W = 0;   // ROI_WIDTH  / NOT NULL</v>
      </c>
      <c r="I25" s="12" t="str">
        <f t="shared" si="1"/>
        <v>public double ROI_W;   // ROI_WIDTH  / NOT NULL</v>
      </c>
    </row>
    <row r="26" spans="1:9" x14ac:dyDescent="0.3">
      <c r="A26" s="14" t="s">
        <v>57</v>
      </c>
      <c r="B26" s="25" t="s">
        <v>43</v>
      </c>
      <c r="C26" s="15">
        <v>8</v>
      </c>
      <c r="D26" s="15" t="s">
        <v>9</v>
      </c>
      <c r="E26" s="15"/>
      <c r="F26" s="14" t="s">
        <v>58</v>
      </c>
      <c r="G26" s="28"/>
      <c r="H26" s="12" t="str">
        <f t="shared" si="0"/>
        <v>ROI_HT = 0;   // ROI_HEIGHT  / NOT NULL</v>
      </c>
      <c r="I26" s="12" t="str">
        <f t="shared" si="1"/>
        <v>public double ROI_HT;   // ROI_HEIGHT  / NOT NULL</v>
      </c>
    </row>
    <row r="27" spans="1:9" x14ac:dyDescent="0.3">
      <c r="A27" s="14" t="s">
        <v>59</v>
      </c>
      <c r="B27" s="15" t="s">
        <v>60</v>
      </c>
      <c r="C27" s="15">
        <v>50</v>
      </c>
      <c r="D27" s="15"/>
      <c r="E27" s="15"/>
      <c r="F27" s="24" t="s">
        <v>61</v>
      </c>
      <c r="H27" s="12" t="str">
        <f t="shared" si="0"/>
        <v>ROI1_INFRCE1_RST = "";   // ROI1_추론1_결과</v>
      </c>
      <c r="I27" s="12" t="str">
        <f t="shared" si="1"/>
        <v>public string ROI1_INFRCE1_RST;   // ROI1_추론1_결과</v>
      </c>
    </row>
    <row r="28" spans="1:9" x14ac:dyDescent="0.3">
      <c r="A28" s="14" t="s">
        <v>62</v>
      </c>
      <c r="B28" s="15" t="s">
        <v>63</v>
      </c>
      <c r="C28" s="15">
        <v>12</v>
      </c>
      <c r="D28" s="15"/>
      <c r="E28" s="15"/>
      <c r="F28" s="1" t="s">
        <v>64</v>
      </c>
      <c r="H28" s="12" t="str">
        <f t="shared" si="0"/>
        <v>ROI1_INFRCE1_SCOR = 0;   // ROI1_추론1_Score</v>
      </c>
      <c r="I28" s="12" t="str">
        <f t="shared" si="1"/>
        <v>public double ROI1_INFRCE1_SCOR;   // ROI1_추론1_Score</v>
      </c>
    </row>
    <row r="29" spans="1:9" x14ac:dyDescent="0.3">
      <c r="A29" s="14" t="s">
        <v>65</v>
      </c>
      <c r="B29" s="15" t="s">
        <v>29</v>
      </c>
      <c r="C29" s="15">
        <v>50</v>
      </c>
      <c r="D29" s="15"/>
      <c r="E29" s="15"/>
      <c r="F29" s="24" t="s">
        <v>66</v>
      </c>
      <c r="H29" s="12" t="str">
        <f t="shared" si="0"/>
        <v>ROI1_INFRCE2_RST = "";   // ROI1_추론2_결과</v>
      </c>
      <c r="I29" s="12" t="str">
        <f t="shared" si="1"/>
        <v>public string ROI1_INFRCE2_RST;   // ROI1_추론2_결과</v>
      </c>
    </row>
    <row r="30" spans="1:9" x14ac:dyDescent="0.3">
      <c r="A30" s="14" t="s">
        <v>67</v>
      </c>
      <c r="B30" s="15" t="s">
        <v>43</v>
      </c>
      <c r="C30" s="15">
        <v>12</v>
      </c>
      <c r="D30" s="15"/>
      <c r="E30" s="15"/>
      <c r="F30" s="1" t="s">
        <v>68</v>
      </c>
      <c r="H30" s="12" t="str">
        <f t="shared" si="0"/>
        <v>ROI1_INFRCE2_OK_SCOR = 0;   // ROI1_추론2_OK_Score</v>
      </c>
      <c r="I30" s="12" t="str">
        <f t="shared" si="1"/>
        <v>public double ROI1_INFRCE2_OK_SCOR;   // ROI1_추론2_OK_Score</v>
      </c>
    </row>
    <row r="31" spans="1:9" x14ac:dyDescent="0.3">
      <c r="A31" s="14" t="s">
        <v>305</v>
      </c>
      <c r="B31" s="15" t="s">
        <v>43</v>
      </c>
      <c r="C31" s="15">
        <v>12</v>
      </c>
      <c r="D31" s="15"/>
      <c r="E31" s="15"/>
      <c r="F31" s="1" t="s">
        <v>69</v>
      </c>
      <c r="H31" s="12" t="str">
        <f t="shared" si="0"/>
        <v>ROI1_INFRCE2_NG1_SCOR = 0;   // ROI1_추론2_NG1_Score</v>
      </c>
      <c r="I31" s="12" t="str">
        <f t="shared" si="1"/>
        <v>public double ROI1_INFRCE2_NG1_SCOR;   // ROI1_추론2_NG1_Score</v>
      </c>
    </row>
    <row r="32" spans="1:9" x14ac:dyDescent="0.3">
      <c r="A32" s="14" t="s">
        <v>306</v>
      </c>
      <c r="B32" s="15" t="s">
        <v>43</v>
      </c>
      <c r="C32" s="15">
        <v>12</v>
      </c>
      <c r="D32" s="15"/>
      <c r="E32" s="15"/>
      <c r="F32" s="1" t="s">
        <v>70</v>
      </c>
      <c r="H32" s="12" t="str">
        <f t="shared" si="0"/>
        <v>ROI1_INFRCE2_NG2_SCOR = 0;   // ROI1_추론2_NG2_Score</v>
      </c>
      <c r="I32" s="12" t="str">
        <f t="shared" si="1"/>
        <v>public double ROI1_INFRCE2_NG2_SCOR;   // ROI1_추론2_NG2_Score</v>
      </c>
    </row>
    <row r="33" spans="1:9" x14ac:dyDescent="0.3">
      <c r="A33" s="14" t="s">
        <v>71</v>
      </c>
      <c r="B33" s="15" t="s">
        <v>43</v>
      </c>
      <c r="C33" s="15">
        <v>12</v>
      </c>
      <c r="D33" s="15"/>
      <c r="E33" s="15"/>
      <c r="F33" s="1" t="s">
        <v>72</v>
      </c>
      <c r="H33" s="12" t="str">
        <f t="shared" si="0"/>
        <v>ROI1_INFRCE2_NG3_SCOR = 0;   // ROI1_추론2_NG3_Score</v>
      </c>
      <c r="I33" s="12" t="str">
        <f t="shared" si="1"/>
        <v>public double ROI1_INFRCE2_NG3_SCOR;   // ROI1_추론2_NG3_Score</v>
      </c>
    </row>
    <row r="34" spans="1:9" x14ac:dyDescent="0.3">
      <c r="A34" s="14" t="s">
        <v>73</v>
      </c>
      <c r="B34" s="15" t="s">
        <v>43</v>
      </c>
      <c r="C34" s="15">
        <v>12</v>
      </c>
      <c r="D34" s="15"/>
      <c r="E34" s="15"/>
      <c r="F34" s="1" t="s">
        <v>74</v>
      </c>
      <c r="H34" s="12" t="str">
        <f t="shared" si="0"/>
        <v>ROI1_INFRCE2_NG4_SCOR = 0;   // ROI1_추론2_NG4_Score</v>
      </c>
      <c r="I34" s="12" t="str">
        <f t="shared" si="1"/>
        <v>public double ROI1_INFRCE2_NG4_SCOR;   // ROI1_추론2_NG4_Score</v>
      </c>
    </row>
    <row r="35" spans="1:9" x14ac:dyDescent="0.3">
      <c r="A35" s="14" t="s">
        <v>75</v>
      </c>
      <c r="B35" s="15" t="s">
        <v>29</v>
      </c>
      <c r="C35" s="15">
        <v>50</v>
      </c>
      <c r="D35" s="15"/>
      <c r="E35" s="15"/>
      <c r="F35" s="24" t="s">
        <v>76</v>
      </c>
      <c r="H35" s="12" t="str">
        <f t="shared" si="0"/>
        <v>ROI2_INFRCE1_RST = "";   // ROI2_추론1_결과</v>
      </c>
      <c r="I35" s="12" t="str">
        <f t="shared" si="1"/>
        <v>public string ROI2_INFRCE1_RST;   // ROI2_추론1_결과</v>
      </c>
    </row>
    <row r="36" spans="1:9" x14ac:dyDescent="0.3">
      <c r="A36" s="14" t="s">
        <v>77</v>
      </c>
      <c r="B36" s="15" t="s">
        <v>302</v>
      </c>
      <c r="C36" s="15">
        <v>12</v>
      </c>
      <c r="D36" s="15"/>
      <c r="E36" s="15"/>
      <c r="F36" s="1" t="s">
        <v>78</v>
      </c>
      <c r="H36" s="12" t="str">
        <f t="shared" si="0"/>
        <v>ROI2_INFRCE1_SCOR = 0;   // ROI2_추론1_Score</v>
      </c>
      <c r="I36" s="12" t="str">
        <f t="shared" si="1"/>
        <v>public double ROI2_INFRCE1_SCOR;   // ROI2_추론1_Score</v>
      </c>
    </row>
    <row r="37" spans="1:9" x14ac:dyDescent="0.3">
      <c r="A37" s="14" t="s">
        <v>79</v>
      </c>
      <c r="B37" s="15" t="s">
        <v>29</v>
      </c>
      <c r="C37" s="15">
        <v>50</v>
      </c>
      <c r="D37" s="15"/>
      <c r="E37" s="15"/>
      <c r="F37" s="24" t="s">
        <v>80</v>
      </c>
      <c r="H37" s="12" t="str">
        <f t="shared" si="0"/>
        <v>ROI2_INFRCE2_RST = "";   // ROI2_추론2_결과</v>
      </c>
      <c r="I37" s="12" t="str">
        <f t="shared" si="1"/>
        <v>public string ROI2_INFRCE2_RST;   // ROI2_추론2_결과</v>
      </c>
    </row>
    <row r="38" spans="1:9" x14ac:dyDescent="0.3">
      <c r="A38" s="14" t="s">
        <v>81</v>
      </c>
      <c r="B38" s="15" t="s">
        <v>43</v>
      </c>
      <c r="C38" s="15">
        <v>12</v>
      </c>
      <c r="D38" s="15"/>
      <c r="E38" s="15"/>
      <c r="F38" s="1" t="s">
        <v>82</v>
      </c>
      <c r="H38" s="12" t="str">
        <f t="shared" si="0"/>
        <v>ROI2_INFRCE2_OK_SCOR = 0;   // ROI2_추론2_OK_Score</v>
      </c>
      <c r="I38" s="12" t="str">
        <f t="shared" si="1"/>
        <v>public double ROI2_INFRCE2_OK_SCOR;   // ROI2_추론2_OK_Score</v>
      </c>
    </row>
    <row r="39" spans="1:9" x14ac:dyDescent="0.3">
      <c r="A39" s="14" t="s">
        <v>83</v>
      </c>
      <c r="B39" s="15" t="s">
        <v>43</v>
      </c>
      <c r="C39" s="15">
        <v>12</v>
      </c>
      <c r="D39" s="15"/>
      <c r="E39" s="15"/>
      <c r="F39" s="1" t="s">
        <v>84</v>
      </c>
      <c r="H39" s="12" t="str">
        <f t="shared" si="0"/>
        <v>ROI2_INFRCE2_NG1_SCOR = 0;   // ROI2_추론2_NG1_Score</v>
      </c>
      <c r="I39" s="12" t="str">
        <f t="shared" si="1"/>
        <v>public double ROI2_INFRCE2_NG1_SCOR;   // ROI2_추론2_NG1_Score</v>
      </c>
    </row>
    <row r="40" spans="1:9" x14ac:dyDescent="0.3">
      <c r="A40" s="14" t="s">
        <v>85</v>
      </c>
      <c r="B40" s="15" t="s">
        <v>43</v>
      </c>
      <c r="C40" s="15">
        <v>12</v>
      </c>
      <c r="D40" s="15"/>
      <c r="E40" s="15"/>
      <c r="F40" s="1" t="s">
        <v>86</v>
      </c>
      <c r="H40" s="12" t="str">
        <f t="shared" si="0"/>
        <v>ROI2_INFRCE2_NG2_SCOR = 0;   // ROI2_추론2_NG2_Score</v>
      </c>
      <c r="I40" s="12" t="str">
        <f t="shared" si="1"/>
        <v>public double ROI2_INFRCE2_NG2_SCOR;   // ROI2_추론2_NG2_Score</v>
      </c>
    </row>
    <row r="41" spans="1:9" x14ac:dyDescent="0.3">
      <c r="A41" s="14" t="s">
        <v>87</v>
      </c>
      <c r="B41" s="15" t="s">
        <v>43</v>
      </c>
      <c r="C41" s="15">
        <v>12</v>
      </c>
      <c r="D41" s="15"/>
      <c r="E41" s="15"/>
      <c r="F41" s="1" t="s">
        <v>88</v>
      </c>
      <c r="H41" s="12" t="str">
        <f t="shared" si="0"/>
        <v>ROI2_INFRCE2_NG3_SCOR = 0;   // ROI2_추론2_NG3_Score</v>
      </c>
      <c r="I41" s="12" t="str">
        <f t="shared" si="1"/>
        <v>public double ROI2_INFRCE2_NG3_SCOR;   // ROI2_추론2_NG3_Score</v>
      </c>
    </row>
    <row r="42" spans="1:9" x14ac:dyDescent="0.3">
      <c r="A42" s="14" t="s">
        <v>89</v>
      </c>
      <c r="B42" s="15" t="s">
        <v>43</v>
      </c>
      <c r="C42" s="15">
        <v>12</v>
      </c>
      <c r="D42" s="15"/>
      <c r="E42" s="15"/>
      <c r="F42" s="1" t="s">
        <v>90</v>
      </c>
      <c r="H42" s="12" t="str">
        <f t="shared" si="0"/>
        <v>ROI2_INFRCE2_NG4_SCOR = 0;   // ROI2_추론2_NG4_Score</v>
      </c>
      <c r="I42" s="12" t="str">
        <f t="shared" si="1"/>
        <v>public double ROI2_INFRCE2_NG4_SCOR;   // ROI2_추론2_NG4_Score</v>
      </c>
    </row>
    <row r="43" spans="1:9" x14ac:dyDescent="0.3">
      <c r="A43" s="14" t="s">
        <v>91</v>
      </c>
      <c r="B43" s="15" t="s">
        <v>29</v>
      </c>
      <c r="C43" s="15">
        <v>50</v>
      </c>
      <c r="D43" s="15"/>
      <c r="E43" s="15"/>
      <c r="F43" s="24" t="s">
        <v>92</v>
      </c>
      <c r="H43" s="12" t="str">
        <f t="shared" si="0"/>
        <v>ROI3_INFRCE1_RST = "";   // ROI3_추론1_결과</v>
      </c>
      <c r="I43" s="12" t="str">
        <f t="shared" si="1"/>
        <v>public string ROI3_INFRCE1_RST;   // ROI3_추론1_결과</v>
      </c>
    </row>
    <row r="44" spans="1:9" x14ac:dyDescent="0.3">
      <c r="A44" s="14" t="s">
        <v>93</v>
      </c>
      <c r="B44" s="15" t="s">
        <v>43</v>
      </c>
      <c r="C44" s="15">
        <v>12</v>
      </c>
      <c r="D44" s="15"/>
      <c r="E44" s="15"/>
      <c r="F44" s="1" t="s">
        <v>94</v>
      </c>
      <c r="H44" s="12" t="str">
        <f t="shared" si="0"/>
        <v>ROI3_INFRCE1_SCOR = 0;   // ROI3_추론1_Score</v>
      </c>
      <c r="I44" s="12" t="str">
        <f t="shared" si="1"/>
        <v>public double ROI3_INFRCE1_SCOR;   // ROI3_추론1_Score</v>
      </c>
    </row>
    <row r="45" spans="1:9" x14ac:dyDescent="0.3">
      <c r="A45" s="14" t="s">
        <v>95</v>
      </c>
      <c r="B45" s="15" t="s">
        <v>29</v>
      </c>
      <c r="C45" s="15">
        <v>50</v>
      </c>
      <c r="D45" s="15"/>
      <c r="E45" s="15"/>
      <c r="F45" s="24" t="s">
        <v>96</v>
      </c>
      <c r="H45" s="12" t="str">
        <f t="shared" si="0"/>
        <v>ROI3_INFRCE2_RST = "";   // ROI3_추론2_결과</v>
      </c>
      <c r="I45" s="12" t="str">
        <f t="shared" si="1"/>
        <v>public string ROI3_INFRCE2_RST;   // ROI3_추론2_결과</v>
      </c>
    </row>
    <row r="46" spans="1:9" x14ac:dyDescent="0.3">
      <c r="A46" s="14" t="s">
        <v>97</v>
      </c>
      <c r="B46" s="15" t="s">
        <v>43</v>
      </c>
      <c r="C46" s="15">
        <v>12</v>
      </c>
      <c r="D46" s="15"/>
      <c r="E46" s="15"/>
      <c r="F46" s="1" t="s">
        <v>98</v>
      </c>
      <c r="H46" s="12" t="str">
        <f t="shared" si="0"/>
        <v>ROI3_INFRCE2_OK_SCOR = 0;   // ROI3_추론2_OK_Score</v>
      </c>
      <c r="I46" s="12" t="str">
        <f t="shared" si="1"/>
        <v>public double ROI3_INFRCE2_OK_SCOR;   // ROI3_추론2_OK_Score</v>
      </c>
    </row>
    <row r="47" spans="1:9" x14ac:dyDescent="0.3">
      <c r="A47" s="14" t="s">
        <v>99</v>
      </c>
      <c r="B47" s="15" t="s">
        <v>43</v>
      </c>
      <c r="C47" s="15">
        <v>12</v>
      </c>
      <c r="D47" s="15"/>
      <c r="E47" s="15"/>
      <c r="F47" s="1" t="s">
        <v>100</v>
      </c>
      <c r="H47" s="12" t="str">
        <f t="shared" si="0"/>
        <v>ROI3_INFRCE2_NG1_SCOR = 0;   // ROI3_추론2_NG1_Score</v>
      </c>
      <c r="I47" s="12" t="str">
        <f t="shared" si="1"/>
        <v>public double ROI3_INFRCE2_NG1_SCOR;   // ROI3_추론2_NG1_Score</v>
      </c>
    </row>
    <row r="48" spans="1:9" x14ac:dyDescent="0.3">
      <c r="A48" s="14" t="s">
        <v>101</v>
      </c>
      <c r="B48" s="15" t="s">
        <v>43</v>
      </c>
      <c r="C48" s="15">
        <v>12</v>
      </c>
      <c r="D48" s="15"/>
      <c r="E48" s="15"/>
      <c r="F48" s="1" t="s">
        <v>102</v>
      </c>
      <c r="H48" s="12" t="str">
        <f t="shared" si="0"/>
        <v>ROI3_INFRCE2_NG2_SCOR = 0;   // ROI3_추론2_NG2_Score</v>
      </c>
      <c r="I48" s="12" t="str">
        <f t="shared" si="1"/>
        <v>public double ROI3_INFRCE2_NG2_SCOR;   // ROI3_추론2_NG2_Score</v>
      </c>
    </row>
    <row r="49" spans="1:9" x14ac:dyDescent="0.3">
      <c r="A49" s="14" t="s">
        <v>103</v>
      </c>
      <c r="B49" s="15" t="s">
        <v>43</v>
      </c>
      <c r="C49" s="15">
        <v>12</v>
      </c>
      <c r="D49" s="15"/>
      <c r="E49" s="15"/>
      <c r="F49" s="1" t="s">
        <v>104</v>
      </c>
      <c r="H49" s="12" t="str">
        <f t="shared" si="0"/>
        <v>ROI3_INFRCE2_NG3_SCOR = 0;   // ROI3_추론2_NG3_Score</v>
      </c>
      <c r="I49" s="12" t="str">
        <f t="shared" si="1"/>
        <v>public double ROI3_INFRCE2_NG3_SCOR;   // ROI3_추론2_NG3_Score</v>
      </c>
    </row>
    <row r="50" spans="1:9" x14ac:dyDescent="0.3">
      <c r="A50" s="14" t="s">
        <v>105</v>
      </c>
      <c r="B50" s="15" t="s">
        <v>43</v>
      </c>
      <c r="C50" s="15">
        <v>12</v>
      </c>
      <c r="D50" s="15"/>
      <c r="E50" s="15"/>
      <c r="F50" s="1" t="s">
        <v>106</v>
      </c>
      <c r="H50" s="12" t="str">
        <f t="shared" si="0"/>
        <v>ROI3_INFRCE2_NG4_SCOR = 0;   // ROI3_추론2_NG4_Score</v>
      </c>
      <c r="I50" s="12" t="str">
        <f t="shared" si="1"/>
        <v>public double ROI3_INFRCE2_NG4_SCOR;   // ROI3_추론2_NG4_Score</v>
      </c>
    </row>
    <row r="51" spans="1:9" x14ac:dyDescent="0.3">
      <c r="A51" s="14" t="s">
        <v>107</v>
      </c>
      <c r="B51" s="15" t="s">
        <v>26</v>
      </c>
      <c r="C51" s="15">
        <v>200</v>
      </c>
      <c r="D51" s="15"/>
      <c r="E51" s="15"/>
      <c r="F51" s="14" t="s">
        <v>108</v>
      </c>
      <c r="H51" s="12" t="str">
        <f t="shared" si="0"/>
        <v>VPDL_MDL_FILE_NM = "";   // VPDL_MODEL_FILENAME</v>
      </c>
      <c r="I51" s="12" t="str">
        <f t="shared" si="1"/>
        <v>public string VPDL_MDL_FILE_NM;   // VPDL_MODEL_FILENAME</v>
      </c>
    </row>
    <row r="52" spans="1:9" x14ac:dyDescent="0.3">
      <c r="A52" s="14" t="s">
        <v>109</v>
      </c>
      <c r="B52" s="15" t="s">
        <v>63</v>
      </c>
      <c r="C52" s="15">
        <v>12</v>
      </c>
      <c r="D52" s="15" t="s">
        <v>9</v>
      </c>
      <c r="E52" s="15"/>
      <c r="F52" s="14" t="s">
        <v>110</v>
      </c>
      <c r="H52" s="12" t="str">
        <f t="shared" si="0"/>
        <v>THRHLD = 0;   // 추론1_임계치  / NOT NULL</v>
      </c>
      <c r="I52" s="12" t="str">
        <f t="shared" si="1"/>
        <v>public double THRHLD;   // 추론1_임계치  / NOT NULL</v>
      </c>
    </row>
    <row r="53" spans="1:9" x14ac:dyDescent="0.3">
      <c r="A53" s="22" t="s">
        <v>111</v>
      </c>
      <c r="B53" s="23" t="s">
        <v>63</v>
      </c>
      <c r="C53" s="23">
        <v>12</v>
      </c>
      <c r="D53" s="23" t="s">
        <v>9</v>
      </c>
      <c r="E53" s="23"/>
      <c r="F53" s="22" t="s">
        <v>112</v>
      </c>
      <c r="G53" s="28"/>
      <c r="H53" s="12" t="str">
        <f t="shared" si="0"/>
        <v>INFRCE2_OK_THRHLD = 0;   // 추론2_OK_임계치  / NOT NULL</v>
      </c>
      <c r="I53" s="12" t="str">
        <f t="shared" si="1"/>
        <v>public double INFRCE2_OK_THRHLD;   // 추론2_OK_임계치  / NOT NULL</v>
      </c>
    </row>
    <row r="54" spans="1:9" x14ac:dyDescent="0.3">
      <c r="A54" s="22" t="s">
        <v>113</v>
      </c>
      <c r="B54" s="23" t="s">
        <v>63</v>
      </c>
      <c r="C54" s="23">
        <v>12</v>
      </c>
      <c r="D54" s="23" t="s">
        <v>9</v>
      </c>
      <c r="E54" s="23"/>
      <c r="F54" s="22" t="s">
        <v>114</v>
      </c>
      <c r="G54" s="28"/>
      <c r="H54" s="12" t="str">
        <f t="shared" si="0"/>
        <v>INFRCE2_NG1_THRHLD = 0;   // 추론2_NG1_임계치  / NOT NULL</v>
      </c>
      <c r="I54" s="12" t="str">
        <f t="shared" si="1"/>
        <v>public double INFRCE2_NG1_THRHLD;   // 추론2_NG1_임계치  / NOT NULL</v>
      </c>
    </row>
    <row r="55" spans="1:9" x14ac:dyDescent="0.3">
      <c r="A55" s="22" t="s">
        <v>115</v>
      </c>
      <c r="B55" s="23" t="s">
        <v>63</v>
      </c>
      <c r="C55" s="23">
        <v>12</v>
      </c>
      <c r="D55" s="23" t="s">
        <v>9</v>
      </c>
      <c r="E55" s="23"/>
      <c r="F55" s="22" t="s">
        <v>116</v>
      </c>
      <c r="G55" s="28"/>
      <c r="H55" s="12" t="str">
        <f t="shared" si="0"/>
        <v>INFRCE2_NG2_THRHLD = 0;   // 추론2_NG2_임계치  / NOT NULL</v>
      </c>
      <c r="I55" s="12" t="str">
        <f t="shared" si="1"/>
        <v>public double INFRCE2_NG2_THRHLD;   // 추론2_NG2_임계치  / NOT NULL</v>
      </c>
    </row>
    <row r="56" spans="1:9" x14ac:dyDescent="0.3">
      <c r="A56" s="22" t="s">
        <v>117</v>
      </c>
      <c r="B56" s="23" t="s">
        <v>63</v>
      </c>
      <c r="C56" s="23">
        <v>12</v>
      </c>
      <c r="D56" s="23" t="s">
        <v>9</v>
      </c>
      <c r="E56" s="23"/>
      <c r="F56" s="22" t="s">
        <v>118</v>
      </c>
      <c r="G56" s="28"/>
      <c r="H56" s="12" t="s">
        <v>304</v>
      </c>
      <c r="I56" s="12" t="str">
        <f t="shared" si="1"/>
        <v>public double INFRCE2_NG3_THRHLD;   // 추론2_NG3_임계치  / NOT NULL</v>
      </c>
    </row>
    <row r="57" spans="1:9" x14ac:dyDescent="0.3">
      <c r="A57" s="22" t="s">
        <v>119</v>
      </c>
      <c r="B57" s="23" t="s">
        <v>63</v>
      </c>
      <c r="C57" s="23">
        <v>12</v>
      </c>
      <c r="D57" s="23" t="s">
        <v>9</v>
      </c>
      <c r="E57" s="23"/>
      <c r="F57" s="22" t="s">
        <v>120</v>
      </c>
      <c r="G57" s="28"/>
      <c r="H57" s="12" t="str">
        <f t="shared" si="0"/>
        <v>INFRCE2_NG4_THRHLD = 0;   // 추론2_NG4_임계치  / NOT NULL</v>
      </c>
      <c r="I57" s="12" t="str">
        <f t="shared" si="1"/>
        <v>public double INFRCE2_NG4_THRHLD;   // 추론2_NG4_임계치  / NOT NULL</v>
      </c>
    </row>
    <row r="58" spans="1:9" x14ac:dyDescent="0.3">
      <c r="A58" s="14" t="s">
        <v>121</v>
      </c>
      <c r="B58" s="15" t="s">
        <v>122</v>
      </c>
      <c r="C58" s="15">
        <v>20</v>
      </c>
      <c r="D58" s="15"/>
      <c r="E58" s="15"/>
      <c r="F58" s="14" t="s">
        <v>123</v>
      </c>
      <c r="H58" s="12" t="str">
        <f t="shared" si="0"/>
        <v>RGSTR_ID = "";   // 최초 등록 ID</v>
      </c>
      <c r="I58" s="12" t="str">
        <f t="shared" si="1"/>
        <v>public string RGSTR_ID;   // 최초 등록 ID</v>
      </c>
    </row>
    <row r="59" spans="1:9" x14ac:dyDescent="0.3">
      <c r="A59" s="19" t="s">
        <v>124</v>
      </c>
      <c r="B59" s="15" t="s">
        <v>36</v>
      </c>
      <c r="C59" s="15"/>
      <c r="D59" s="15"/>
      <c r="E59" s="15"/>
      <c r="F59" s="14" t="s">
        <v>125</v>
      </c>
      <c r="H59" s="12" t="str">
        <f t="shared" si="0"/>
        <v>RGST_DTM = DateTime.Now;   // 최초 등록 일시</v>
      </c>
      <c r="I59" s="12" t="str">
        <f t="shared" si="1"/>
        <v>public DateTime RGST_DTM;   // 최초 등록 일시</v>
      </c>
    </row>
    <row r="60" spans="1:9" x14ac:dyDescent="0.3">
      <c r="A60" s="14" t="s">
        <v>126</v>
      </c>
      <c r="B60" s="15" t="s">
        <v>122</v>
      </c>
      <c r="C60" s="15">
        <v>20</v>
      </c>
      <c r="D60" s="15"/>
      <c r="E60" s="15"/>
      <c r="F60" s="14" t="s">
        <v>127</v>
      </c>
      <c r="H60" s="12" t="str">
        <f t="shared" si="0"/>
        <v>LAST_UPDR_ID = "";   // 최종 수정 ID</v>
      </c>
      <c r="I60" s="12" t="str">
        <f t="shared" si="1"/>
        <v>public string LAST_UPDR_ID;   // 최종 수정 ID</v>
      </c>
    </row>
    <row r="61" spans="1:9" x14ac:dyDescent="0.3">
      <c r="A61" s="19" t="s">
        <v>128</v>
      </c>
      <c r="B61" s="15" t="s">
        <v>13</v>
      </c>
      <c r="C61" s="15"/>
      <c r="D61" s="15"/>
      <c r="E61" s="15"/>
      <c r="F61" s="14" t="s">
        <v>129</v>
      </c>
      <c r="H61" s="12" t="str">
        <f t="shared" si="0"/>
        <v>LAST_UPD_DTM = DateTime.Now;   // 최종 수정 일시</v>
      </c>
      <c r="I61" s="12" t="str">
        <f t="shared" si="1"/>
        <v>public DateTime LAST_UPD_DTM;   // 최종 수정 일시</v>
      </c>
    </row>
    <row r="62" spans="1:9" x14ac:dyDescent="0.3">
      <c r="A62" s="12"/>
      <c r="B62" s="16"/>
      <c r="C62" s="16"/>
      <c r="D62" s="16"/>
      <c r="E62" s="12"/>
      <c r="F62" s="12"/>
    </row>
    <row r="63" spans="1:9" x14ac:dyDescent="0.3">
      <c r="A63" s="17" t="s">
        <v>130</v>
      </c>
      <c r="B63" s="18"/>
    </row>
    <row r="64" spans="1:9" x14ac:dyDescent="0.3">
      <c r="A64" s="17" t="s">
        <v>131</v>
      </c>
      <c r="B64" s="18" t="s">
        <v>132</v>
      </c>
    </row>
    <row r="65" spans="1:2" x14ac:dyDescent="0.3">
      <c r="A65" s="17" t="s">
        <v>133</v>
      </c>
      <c r="B65" s="18" t="s">
        <v>134</v>
      </c>
    </row>
    <row r="66" spans="1:2" x14ac:dyDescent="0.3">
      <c r="A66" s="17"/>
      <c r="B66" s="18"/>
    </row>
    <row r="67" spans="1:2" x14ac:dyDescent="0.3">
      <c r="A67" s="20" t="s">
        <v>135</v>
      </c>
      <c r="B67" s="21"/>
    </row>
    <row r="68" spans="1:2" x14ac:dyDescent="0.3">
      <c r="A68" s="20" t="s">
        <v>136</v>
      </c>
      <c r="B68" s="21" t="s">
        <v>137</v>
      </c>
    </row>
    <row r="69" spans="1:2" x14ac:dyDescent="0.3">
      <c r="A69" s="20" t="s">
        <v>138</v>
      </c>
      <c r="B69" s="21" t="s">
        <v>139</v>
      </c>
    </row>
    <row r="70" spans="1:2" x14ac:dyDescent="0.3">
      <c r="A70" s="20" t="s">
        <v>307</v>
      </c>
      <c r="B70" s="21" t="s">
        <v>140</v>
      </c>
    </row>
    <row r="71" spans="1:2" x14ac:dyDescent="0.3">
      <c r="A71" s="20" t="s">
        <v>141</v>
      </c>
      <c r="B71" s="21" t="s">
        <v>142</v>
      </c>
    </row>
    <row r="72" spans="1:2" x14ac:dyDescent="0.3">
      <c r="A72" s="20" t="s">
        <v>143</v>
      </c>
      <c r="B72" s="21" t="s">
        <v>144</v>
      </c>
    </row>
  </sheetData>
  <mergeCells count="5">
    <mergeCell ref="B1:E1"/>
    <mergeCell ref="B2:E2"/>
    <mergeCell ref="B3:E3"/>
    <mergeCell ref="G53:G57"/>
    <mergeCell ref="G17:G2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4"/>
  <sheetViews>
    <sheetView workbookViewId="0">
      <selection activeCell="J127" sqref="J127"/>
    </sheetView>
  </sheetViews>
  <sheetFormatPr defaultRowHeight="13.5" x14ac:dyDescent="0.3"/>
  <cols>
    <col min="1" max="1" width="21.25" style="9" bestFit="1" customWidth="1"/>
    <col min="2" max="2" width="10.375" style="10" bestFit="1" customWidth="1"/>
    <col min="3" max="3" width="6.5" style="10" bestFit="1" customWidth="1"/>
    <col min="4" max="4" width="9.875" style="10" bestFit="1" customWidth="1"/>
    <col min="5" max="5" width="8.75" style="10" bestFit="1" customWidth="1"/>
    <col min="6" max="6" width="30.875" style="9" bestFit="1" customWidth="1"/>
    <col min="7" max="16384" width="9" style="9"/>
  </cols>
  <sheetData>
    <row r="1" spans="1:6" s="3" customFormat="1" x14ac:dyDescent="0.3">
      <c r="A1" s="2" t="s">
        <v>0</v>
      </c>
      <c r="B1" s="29" t="s">
        <v>145</v>
      </c>
      <c r="C1" s="29"/>
      <c r="D1" s="29"/>
      <c r="E1" s="29"/>
      <c r="F1" s="29"/>
    </row>
    <row r="2" spans="1:6" s="3" customFormat="1" ht="13.5" customHeight="1" x14ac:dyDescent="0.3">
      <c r="A2" s="2" t="s">
        <v>2</v>
      </c>
      <c r="B2" s="29" t="s">
        <v>146</v>
      </c>
      <c r="C2" s="29"/>
      <c r="D2" s="29"/>
      <c r="E2" s="29"/>
      <c r="F2" s="29"/>
    </row>
    <row r="3" spans="1:6" s="3" customFormat="1" ht="13.5" customHeight="1" x14ac:dyDescent="0.3">
      <c r="A3" s="2" t="s">
        <v>4</v>
      </c>
      <c r="B3" s="29" t="s">
        <v>147</v>
      </c>
      <c r="C3" s="29"/>
      <c r="D3" s="29"/>
      <c r="E3" s="29"/>
      <c r="F3" s="29"/>
    </row>
    <row r="4" spans="1:6" s="3" customFormat="1" x14ac:dyDescent="0.3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148</v>
      </c>
    </row>
    <row r="5" spans="1:6" x14ac:dyDescent="0.3">
      <c r="A5" s="7" t="s">
        <v>149</v>
      </c>
      <c r="B5" s="8" t="s">
        <v>150</v>
      </c>
      <c r="C5" s="8">
        <v>200</v>
      </c>
      <c r="D5" s="8" t="s">
        <v>151</v>
      </c>
      <c r="E5" s="8" t="s">
        <v>152</v>
      </c>
      <c r="F5" s="7" t="s">
        <v>153</v>
      </c>
    </row>
    <row r="6" spans="1:6" x14ac:dyDescent="0.3">
      <c r="A6" s="7" t="s">
        <v>154</v>
      </c>
      <c r="B6" s="8" t="s">
        <v>155</v>
      </c>
      <c r="C6" s="8"/>
      <c r="D6" s="8" t="s">
        <v>156</v>
      </c>
      <c r="E6" s="8"/>
      <c r="F6" s="7" t="s">
        <v>157</v>
      </c>
    </row>
    <row r="7" spans="1:6" x14ac:dyDescent="0.3">
      <c r="A7" s="7" t="s">
        <v>158</v>
      </c>
      <c r="B7" s="8" t="s">
        <v>155</v>
      </c>
      <c r="C7" s="8"/>
      <c r="D7" s="8" t="s">
        <v>156</v>
      </c>
      <c r="E7" s="8"/>
      <c r="F7" s="7" t="s">
        <v>159</v>
      </c>
    </row>
    <row r="8" spans="1:6" x14ac:dyDescent="0.3">
      <c r="A8" s="7" t="s">
        <v>160</v>
      </c>
      <c r="B8" s="8" t="s">
        <v>150</v>
      </c>
      <c r="C8" s="8">
        <v>20</v>
      </c>
      <c r="D8" s="8" t="s">
        <v>156</v>
      </c>
      <c r="E8" s="8"/>
      <c r="F8" s="7" t="s">
        <v>161</v>
      </c>
    </row>
    <row r="9" spans="1:6" x14ac:dyDescent="0.3">
      <c r="A9" s="7" t="s">
        <v>162</v>
      </c>
      <c r="B9" s="8" t="s">
        <v>163</v>
      </c>
      <c r="C9" s="8"/>
      <c r="D9" s="8" t="s">
        <v>156</v>
      </c>
      <c r="E9" s="8"/>
      <c r="F9" s="7" t="s">
        <v>164</v>
      </c>
    </row>
    <row r="10" spans="1:6" x14ac:dyDescent="0.3">
      <c r="A10" s="7" t="s">
        <v>165</v>
      </c>
      <c r="B10" s="8" t="s">
        <v>150</v>
      </c>
      <c r="C10" s="8">
        <v>20</v>
      </c>
      <c r="D10" s="8" t="s">
        <v>156</v>
      </c>
      <c r="E10" s="8"/>
      <c r="F10" s="7" t="s">
        <v>166</v>
      </c>
    </row>
    <row r="11" spans="1:6" x14ac:dyDescent="0.3">
      <c r="A11" s="7" t="s">
        <v>167</v>
      </c>
      <c r="B11" s="8" t="s">
        <v>163</v>
      </c>
      <c r="C11" s="8"/>
      <c r="D11" s="8" t="s">
        <v>156</v>
      </c>
      <c r="E11" s="8"/>
      <c r="F11" s="7" t="s">
        <v>168</v>
      </c>
    </row>
    <row r="14" spans="1:6" x14ac:dyDescent="0.3">
      <c r="A14" s="2" t="s">
        <v>0</v>
      </c>
      <c r="B14" s="29" t="s">
        <v>145</v>
      </c>
      <c r="C14" s="29"/>
      <c r="D14" s="29"/>
      <c r="E14" s="29"/>
      <c r="F14" s="29"/>
    </row>
    <row r="15" spans="1:6" x14ac:dyDescent="0.3">
      <c r="A15" s="2" t="s">
        <v>2</v>
      </c>
      <c r="B15" s="29" t="s">
        <v>169</v>
      </c>
      <c r="C15" s="29"/>
      <c r="D15" s="29"/>
      <c r="E15" s="29"/>
      <c r="F15" s="29"/>
    </row>
    <row r="16" spans="1:6" x14ac:dyDescent="0.3">
      <c r="A16" s="2" t="s">
        <v>4</v>
      </c>
      <c r="B16" s="29" t="s">
        <v>170</v>
      </c>
      <c r="C16" s="29"/>
      <c r="D16" s="29"/>
      <c r="E16" s="29"/>
      <c r="F16" s="29"/>
    </row>
    <row r="17" spans="1:6" x14ac:dyDescent="0.3">
      <c r="A17" s="5" t="s">
        <v>6</v>
      </c>
      <c r="B17" s="5" t="s">
        <v>7</v>
      </c>
      <c r="C17" s="5" t="s">
        <v>8</v>
      </c>
      <c r="D17" s="5" t="s">
        <v>9</v>
      </c>
      <c r="E17" s="5" t="s">
        <v>10</v>
      </c>
      <c r="F17" s="5" t="s">
        <v>148</v>
      </c>
    </row>
    <row r="18" spans="1:6" x14ac:dyDescent="0.3">
      <c r="A18" s="7" t="s">
        <v>171</v>
      </c>
      <c r="B18" s="8" t="s">
        <v>150</v>
      </c>
      <c r="C18" s="8">
        <v>20</v>
      </c>
      <c r="D18" s="8" t="s">
        <v>151</v>
      </c>
      <c r="E18" s="8" t="s">
        <v>152</v>
      </c>
      <c r="F18" s="7" t="s">
        <v>172</v>
      </c>
    </row>
    <row r="19" spans="1:6" x14ac:dyDescent="0.3">
      <c r="A19" s="7" t="s">
        <v>173</v>
      </c>
      <c r="B19" s="8" t="s">
        <v>150</v>
      </c>
      <c r="C19" s="8">
        <v>5</v>
      </c>
      <c r="D19" s="8" t="s">
        <v>151</v>
      </c>
      <c r="E19" s="8" t="s">
        <v>152</v>
      </c>
      <c r="F19" s="7" t="s">
        <v>174</v>
      </c>
    </row>
    <row r="20" spans="1:6" x14ac:dyDescent="0.3">
      <c r="A20" s="7" t="s">
        <v>175</v>
      </c>
      <c r="B20" s="8" t="s">
        <v>150</v>
      </c>
      <c r="C20" s="8">
        <v>50</v>
      </c>
      <c r="D20" s="8" t="s">
        <v>151</v>
      </c>
      <c r="E20" s="8"/>
      <c r="F20" s="7" t="s">
        <v>176</v>
      </c>
    </row>
    <row r="21" spans="1:6" x14ac:dyDescent="0.3">
      <c r="A21" s="7" t="s">
        <v>177</v>
      </c>
      <c r="B21" s="8" t="s">
        <v>150</v>
      </c>
      <c r="C21" s="8">
        <v>200</v>
      </c>
      <c r="D21" s="8" t="s">
        <v>156</v>
      </c>
      <c r="E21" s="8"/>
      <c r="F21" s="7" t="s">
        <v>178</v>
      </c>
    </row>
    <row r="22" spans="1:6" x14ac:dyDescent="0.3">
      <c r="A22" s="7" t="s">
        <v>179</v>
      </c>
      <c r="B22" s="8" t="s">
        <v>150</v>
      </c>
      <c r="C22" s="8">
        <v>200</v>
      </c>
      <c r="D22" s="8" t="s">
        <v>156</v>
      </c>
      <c r="E22" s="8"/>
      <c r="F22" s="7" t="s">
        <v>180</v>
      </c>
    </row>
    <row r="23" spans="1:6" x14ac:dyDescent="0.3">
      <c r="A23" s="7" t="s">
        <v>181</v>
      </c>
      <c r="B23" s="8" t="s">
        <v>150</v>
      </c>
      <c r="C23" s="8">
        <v>200</v>
      </c>
      <c r="D23" s="8" t="s">
        <v>156</v>
      </c>
      <c r="E23" s="8"/>
      <c r="F23" s="7" t="s">
        <v>182</v>
      </c>
    </row>
    <row r="26" spans="1:6" x14ac:dyDescent="0.3">
      <c r="A26" s="2" t="s">
        <v>0</v>
      </c>
      <c r="B26" s="29" t="s">
        <v>145</v>
      </c>
      <c r="C26" s="29"/>
      <c r="D26" s="29"/>
      <c r="E26" s="29"/>
      <c r="F26" s="29"/>
    </row>
    <row r="27" spans="1:6" x14ac:dyDescent="0.3">
      <c r="A27" s="2" t="s">
        <v>2</v>
      </c>
      <c r="B27" s="29" t="s">
        <v>183</v>
      </c>
      <c r="C27" s="29"/>
      <c r="D27" s="29"/>
      <c r="E27" s="29"/>
      <c r="F27" s="29"/>
    </row>
    <row r="28" spans="1:6" x14ac:dyDescent="0.3">
      <c r="A28" s="2" t="s">
        <v>4</v>
      </c>
      <c r="B28" s="29" t="s">
        <v>184</v>
      </c>
      <c r="C28" s="29"/>
      <c r="D28" s="29"/>
      <c r="E28" s="29"/>
      <c r="F28" s="29"/>
    </row>
    <row r="29" spans="1:6" x14ac:dyDescent="0.3">
      <c r="A29" s="5" t="s">
        <v>6</v>
      </c>
      <c r="B29" s="5" t="s">
        <v>7</v>
      </c>
      <c r="C29" s="5" t="s">
        <v>8</v>
      </c>
      <c r="D29" s="5" t="s">
        <v>9</v>
      </c>
      <c r="E29" s="5" t="s">
        <v>10</v>
      </c>
      <c r="F29" s="5" t="s">
        <v>148</v>
      </c>
    </row>
    <row r="30" spans="1:6" x14ac:dyDescent="0.3">
      <c r="A30" s="7" t="s">
        <v>185</v>
      </c>
      <c r="B30" s="8" t="s">
        <v>150</v>
      </c>
      <c r="C30" s="8">
        <v>20</v>
      </c>
      <c r="D30" s="8" t="s">
        <v>156</v>
      </c>
      <c r="E30" s="8"/>
      <c r="F30" s="7" t="s">
        <v>186</v>
      </c>
    </row>
    <row r="31" spans="1:6" x14ac:dyDescent="0.3">
      <c r="A31" s="7" t="s">
        <v>187</v>
      </c>
      <c r="B31" s="8" t="s">
        <v>150</v>
      </c>
      <c r="C31" s="8">
        <v>20</v>
      </c>
      <c r="D31" s="8" t="s">
        <v>156</v>
      </c>
      <c r="E31" s="8"/>
      <c r="F31" s="7" t="s">
        <v>188</v>
      </c>
    </row>
    <row r="32" spans="1:6" x14ac:dyDescent="0.3">
      <c r="A32" s="7" t="s">
        <v>189</v>
      </c>
      <c r="B32" s="8" t="s">
        <v>150</v>
      </c>
      <c r="C32" s="8">
        <v>20</v>
      </c>
      <c r="D32" s="8" t="s">
        <v>156</v>
      </c>
      <c r="E32" s="8"/>
      <c r="F32" s="7" t="s">
        <v>190</v>
      </c>
    </row>
    <row r="33" spans="1:6" x14ac:dyDescent="0.3">
      <c r="A33" s="7" t="s">
        <v>171</v>
      </c>
      <c r="B33" s="8" t="s">
        <v>150</v>
      </c>
      <c r="C33" s="8">
        <v>20</v>
      </c>
      <c r="D33" s="8" t="s">
        <v>151</v>
      </c>
      <c r="E33" s="8" t="s">
        <v>152</v>
      </c>
      <c r="F33" s="7" t="s">
        <v>172</v>
      </c>
    </row>
    <row r="34" spans="1:6" x14ac:dyDescent="0.3">
      <c r="A34" s="7" t="s">
        <v>175</v>
      </c>
      <c r="B34" s="8" t="s">
        <v>150</v>
      </c>
      <c r="C34" s="8">
        <v>50</v>
      </c>
      <c r="D34" s="8" t="s">
        <v>151</v>
      </c>
      <c r="E34" s="8"/>
      <c r="F34" s="7" t="s">
        <v>176</v>
      </c>
    </row>
    <row r="35" spans="1:6" x14ac:dyDescent="0.3">
      <c r="A35" s="7" t="s">
        <v>191</v>
      </c>
      <c r="B35" s="8" t="s">
        <v>150</v>
      </c>
      <c r="C35" s="8">
        <v>1</v>
      </c>
      <c r="D35" s="8" t="s">
        <v>151</v>
      </c>
      <c r="E35" s="8"/>
      <c r="F35" s="7" t="s">
        <v>192</v>
      </c>
    </row>
    <row r="36" spans="1:6" x14ac:dyDescent="0.3">
      <c r="A36" s="7" t="s">
        <v>193</v>
      </c>
      <c r="B36" s="8" t="s">
        <v>194</v>
      </c>
      <c r="C36" s="8">
        <v>16</v>
      </c>
      <c r="D36" s="8" t="s">
        <v>151</v>
      </c>
      <c r="E36" s="8"/>
      <c r="F36" s="7" t="s">
        <v>195</v>
      </c>
    </row>
    <row r="37" spans="1:6" x14ac:dyDescent="0.3">
      <c r="A37" s="7" t="s">
        <v>177</v>
      </c>
      <c r="B37" s="8" t="s">
        <v>150</v>
      </c>
      <c r="C37" s="8">
        <v>200</v>
      </c>
      <c r="D37" s="8" t="s">
        <v>156</v>
      </c>
      <c r="E37" s="8"/>
      <c r="F37" s="7" t="s">
        <v>178</v>
      </c>
    </row>
    <row r="38" spans="1:6" x14ac:dyDescent="0.3">
      <c r="A38" s="7" t="s">
        <v>179</v>
      </c>
      <c r="B38" s="8" t="s">
        <v>150</v>
      </c>
      <c r="C38" s="8">
        <v>200</v>
      </c>
      <c r="D38" s="8" t="s">
        <v>156</v>
      </c>
      <c r="E38" s="8"/>
      <c r="F38" s="7" t="s">
        <v>180</v>
      </c>
    </row>
    <row r="39" spans="1:6" x14ac:dyDescent="0.3">
      <c r="A39" s="7" t="s">
        <v>181</v>
      </c>
      <c r="B39" s="8" t="s">
        <v>150</v>
      </c>
      <c r="C39" s="8">
        <v>200</v>
      </c>
      <c r="D39" s="8" t="s">
        <v>156</v>
      </c>
      <c r="E39" s="8"/>
      <c r="F39" s="7" t="s">
        <v>182</v>
      </c>
    </row>
    <row r="40" spans="1:6" x14ac:dyDescent="0.3">
      <c r="A40" s="7" t="s">
        <v>196</v>
      </c>
      <c r="B40" s="8" t="s">
        <v>150</v>
      </c>
      <c r="C40" s="8">
        <v>2000</v>
      </c>
      <c r="D40" s="8" t="s">
        <v>156</v>
      </c>
      <c r="E40" s="8"/>
      <c r="F40" s="7" t="s">
        <v>197</v>
      </c>
    </row>
    <row r="41" spans="1:6" x14ac:dyDescent="0.3">
      <c r="A41" s="7" t="s">
        <v>160</v>
      </c>
      <c r="B41" s="8" t="s">
        <v>150</v>
      </c>
      <c r="C41" s="8">
        <v>20</v>
      </c>
      <c r="D41" s="8" t="s">
        <v>156</v>
      </c>
      <c r="E41" s="8"/>
      <c r="F41" s="7" t="s">
        <v>161</v>
      </c>
    </row>
    <row r="42" spans="1:6" x14ac:dyDescent="0.3">
      <c r="A42" s="7" t="s">
        <v>162</v>
      </c>
      <c r="B42" s="8" t="s">
        <v>163</v>
      </c>
      <c r="C42" s="8"/>
      <c r="D42" s="8" t="s">
        <v>156</v>
      </c>
      <c r="E42" s="8"/>
      <c r="F42" s="7" t="s">
        <v>164</v>
      </c>
    </row>
    <row r="43" spans="1:6" x14ac:dyDescent="0.3">
      <c r="A43" s="7" t="s">
        <v>165</v>
      </c>
      <c r="B43" s="8" t="s">
        <v>150</v>
      </c>
      <c r="C43" s="8">
        <v>20</v>
      </c>
      <c r="D43" s="8" t="s">
        <v>156</v>
      </c>
      <c r="E43" s="8"/>
      <c r="F43" s="7" t="s">
        <v>166</v>
      </c>
    </row>
    <row r="44" spans="1:6" x14ac:dyDescent="0.3">
      <c r="A44" s="7" t="s">
        <v>167</v>
      </c>
      <c r="B44" s="8" t="s">
        <v>163</v>
      </c>
      <c r="C44" s="8"/>
      <c r="D44" s="8" t="s">
        <v>156</v>
      </c>
      <c r="E44" s="8"/>
      <c r="F44" s="7" t="s">
        <v>168</v>
      </c>
    </row>
    <row r="47" spans="1:6" x14ac:dyDescent="0.3">
      <c r="A47" s="2" t="s">
        <v>0</v>
      </c>
      <c r="B47" s="29" t="s">
        <v>145</v>
      </c>
      <c r="C47" s="29"/>
      <c r="D47" s="29"/>
      <c r="E47" s="29"/>
      <c r="F47" s="29"/>
    </row>
    <row r="48" spans="1:6" x14ac:dyDescent="0.3">
      <c r="A48" s="2" t="s">
        <v>2</v>
      </c>
      <c r="B48" s="29" t="s">
        <v>198</v>
      </c>
      <c r="C48" s="29"/>
      <c r="D48" s="29"/>
      <c r="E48" s="29"/>
      <c r="F48" s="29"/>
    </row>
    <row r="49" spans="1:6" x14ac:dyDescent="0.3">
      <c r="A49" s="2" t="s">
        <v>4</v>
      </c>
      <c r="B49" s="29" t="s">
        <v>199</v>
      </c>
      <c r="C49" s="29"/>
      <c r="D49" s="29"/>
      <c r="E49" s="29"/>
      <c r="F49" s="29"/>
    </row>
    <row r="50" spans="1:6" x14ac:dyDescent="0.3">
      <c r="A50" s="5" t="s">
        <v>6</v>
      </c>
      <c r="B50" s="5" t="s">
        <v>7</v>
      </c>
      <c r="C50" s="5" t="s">
        <v>8</v>
      </c>
      <c r="D50" s="5" t="s">
        <v>9</v>
      </c>
      <c r="E50" s="5" t="s">
        <v>10</v>
      </c>
      <c r="F50" s="5" t="s">
        <v>148</v>
      </c>
    </row>
    <row r="51" spans="1:6" x14ac:dyDescent="0.3">
      <c r="A51" s="7" t="s">
        <v>200</v>
      </c>
      <c r="B51" s="8" t="s">
        <v>194</v>
      </c>
      <c r="C51" s="8">
        <v>16</v>
      </c>
      <c r="D51" s="8" t="s">
        <v>151</v>
      </c>
      <c r="E51" s="8" t="s">
        <v>152</v>
      </c>
      <c r="F51" s="7" t="s">
        <v>201</v>
      </c>
    </row>
    <row r="52" spans="1:6" x14ac:dyDescent="0.3">
      <c r="A52" s="7" t="s">
        <v>202</v>
      </c>
      <c r="B52" s="8" t="s">
        <v>203</v>
      </c>
      <c r="C52" s="8">
        <v>10</v>
      </c>
      <c r="D52" s="8" t="s">
        <v>151</v>
      </c>
      <c r="E52" s="8" t="s">
        <v>152</v>
      </c>
      <c r="F52" s="7" t="s">
        <v>204</v>
      </c>
    </row>
    <row r="53" spans="1:6" x14ac:dyDescent="0.3">
      <c r="A53" s="7" t="s">
        <v>205</v>
      </c>
      <c r="B53" s="8" t="s">
        <v>150</v>
      </c>
      <c r="C53" s="8">
        <v>14</v>
      </c>
      <c r="D53" s="8" t="s">
        <v>151</v>
      </c>
      <c r="E53" s="8"/>
      <c r="F53" s="7" t="s">
        <v>206</v>
      </c>
    </row>
    <row r="54" spans="1:6" x14ac:dyDescent="0.3">
      <c r="A54" s="7" t="s">
        <v>207</v>
      </c>
      <c r="B54" s="8" t="s">
        <v>150</v>
      </c>
      <c r="C54" s="8">
        <v>14</v>
      </c>
      <c r="D54" s="8" t="s">
        <v>151</v>
      </c>
      <c r="E54" s="8"/>
      <c r="F54" s="7" t="s">
        <v>208</v>
      </c>
    </row>
    <row r="55" spans="1:6" x14ac:dyDescent="0.3">
      <c r="A55" s="7" t="s">
        <v>209</v>
      </c>
      <c r="B55" s="8" t="s">
        <v>150</v>
      </c>
      <c r="C55" s="8">
        <v>20</v>
      </c>
      <c r="D55" s="8" t="s">
        <v>151</v>
      </c>
      <c r="E55" s="8"/>
      <c r="F55" s="7" t="s">
        <v>210</v>
      </c>
    </row>
    <row r="56" spans="1:6" x14ac:dyDescent="0.3">
      <c r="A56" s="7" t="s">
        <v>211</v>
      </c>
      <c r="B56" s="8" t="s">
        <v>150</v>
      </c>
      <c r="C56" s="8">
        <v>2000</v>
      </c>
      <c r="D56" s="8" t="s">
        <v>151</v>
      </c>
      <c r="E56" s="8"/>
      <c r="F56" s="7" t="s">
        <v>212</v>
      </c>
    </row>
    <row r="57" spans="1:6" x14ac:dyDescent="0.3">
      <c r="A57" s="7" t="s">
        <v>160</v>
      </c>
      <c r="B57" s="8" t="s">
        <v>150</v>
      </c>
      <c r="C57" s="8">
        <v>20</v>
      </c>
      <c r="D57" s="8" t="s">
        <v>151</v>
      </c>
      <c r="E57" s="8"/>
      <c r="F57" s="7" t="s">
        <v>161</v>
      </c>
    </row>
    <row r="58" spans="1:6" x14ac:dyDescent="0.3">
      <c r="A58" s="7" t="s">
        <v>162</v>
      </c>
      <c r="B58" s="8" t="s">
        <v>163</v>
      </c>
      <c r="C58" s="8"/>
      <c r="D58" s="8" t="s">
        <v>151</v>
      </c>
      <c r="E58" s="8"/>
      <c r="F58" s="7" t="s">
        <v>164</v>
      </c>
    </row>
    <row r="59" spans="1:6" x14ac:dyDescent="0.3">
      <c r="A59" s="7" t="s">
        <v>165</v>
      </c>
      <c r="B59" s="8" t="s">
        <v>150</v>
      </c>
      <c r="C59" s="8">
        <v>20</v>
      </c>
      <c r="D59" s="8" t="s">
        <v>156</v>
      </c>
      <c r="E59" s="8"/>
      <c r="F59" s="7" t="s">
        <v>166</v>
      </c>
    </row>
    <row r="60" spans="1:6" x14ac:dyDescent="0.3">
      <c r="A60" s="7" t="s">
        <v>167</v>
      </c>
      <c r="B60" s="8" t="s">
        <v>163</v>
      </c>
      <c r="C60" s="8"/>
      <c r="D60" s="8" t="s">
        <v>156</v>
      </c>
      <c r="E60" s="8"/>
      <c r="F60" s="7" t="s">
        <v>168</v>
      </c>
    </row>
    <row r="63" spans="1:6" x14ac:dyDescent="0.3">
      <c r="A63" s="2" t="s">
        <v>0</v>
      </c>
      <c r="B63" s="29" t="s">
        <v>145</v>
      </c>
      <c r="C63" s="29"/>
      <c r="D63" s="29"/>
      <c r="E63" s="29"/>
      <c r="F63" s="29"/>
    </row>
    <row r="64" spans="1:6" x14ac:dyDescent="0.3">
      <c r="A64" s="2" t="s">
        <v>2</v>
      </c>
      <c r="B64" s="29" t="s">
        <v>213</v>
      </c>
      <c r="C64" s="29"/>
      <c r="D64" s="29"/>
      <c r="E64" s="29"/>
      <c r="F64" s="29"/>
    </row>
    <row r="65" spans="1:6" x14ac:dyDescent="0.3">
      <c r="A65" s="2" t="s">
        <v>4</v>
      </c>
      <c r="B65" s="29" t="s">
        <v>214</v>
      </c>
      <c r="C65" s="29"/>
      <c r="D65" s="29"/>
      <c r="E65" s="29"/>
      <c r="F65" s="29"/>
    </row>
    <row r="66" spans="1:6" x14ac:dyDescent="0.3">
      <c r="A66" s="5" t="s">
        <v>6</v>
      </c>
      <c r="B66" s="5" t="s">
        <v>7</v>
      </c>
      <c r="C66" s="5" t="s">
        <v>8</v>
      </c>
      <c r="D66" s="5" t="s">
        <v>9</v>
      </c>
      <c r="E66" s="5" t="s">
        <v>10</v>
      </c>
      <c r="F66" s="5" t="s">
        <v>148</v>
      </c>
    </row>
    <row r="67" spans="1:6" x14ac:dyDescent="0.3">
      <c r="A67" s="7" t="s">
        <v>149</v>
      </c>
      <c r="B67" s="8" t="s">
        <v>150</v>
      </c>
      <c r="C67" s="8">
        <v>200</v>
      </c>
      <c r="D67" s="8" t="s">
        <v>151</v>
      </c>
      <c r="E67" s="8" t="s">
        <v>152</v>
      </c>
      <c r="F67" s="7" t="s">
        <v>24</v>
      </c>
    </row>
    <row r="68" spans="1:6" x14ac:dyDescent="0.3">
      <c r="A68" s="7" t="s">
        <v>215</v>
      </c>
      <c r="B68" s="8" t="s">
        <v>155</v>
      </c>
      <c r="C68" s="8"/>
      <c r="D68" s="8" t="s">
        <v>156</v>
      </c>
      <c r="E68" s="8"/>
      <c r="F68" s="7" t="s">
        <v>216</v>
      </c>
    </row>
    <row r="69" spans="1:6" x14ac:dyDescent="0.3">
      <c r="A69" s="7" t="s">
        <v>217</v>
      </c>
      <c r="B69" s="8" t="s">
        <v>155</v>
      </c>
      <c r="C69" s="8"/>
      <c r="D69" s="8" t="s">
        <v>156</v>
      </c>
      <c r="E69" s="8"/>
      <c r="F69" s="7" t="s">
        <v>218</v>
      </c>
    </row>
    <row r="70" spans="1:6" x14ac:dyDescent="0.3">
      <c r="A70" s="7" t="s">
        <v>160</v>
      </c>
      <c r="B70" s="8" t="s">
        <v>150</v>
      </c>
      <c r="C70" s="8">
        <v>20</v>
      </c>
      <c r="D70" s="8" t="s">
        <v>156</v>
      </c>
      <c r="E70" s="8"/>
      <c r="F70" s="7" t="s">
        <v>161</v>
      </c>
    </row>
    <row r="71" spans="1:6" x14ac:dyDescent="0.3">
      <c r="A71" s="7" t="s">
        <v>162</v>
      </c>
      <c r="B71" s="8" t="s">
        <v>163</v>
      </c>
      <c r="C71" s="8"/>
      <c r="D71" s="8" t="s">
        <v>156</v>
      </c>
      <c r="E71" s="8"/>
      <c r="F71" s="7" t="s">
        <v>164</v>
      </c>
    </row>
    <row r="72" spans="1:6" x14ac:dyDescent="0.3">
      <c r="A72" s="7" t="s">
        <v>165</v>
      </c>
      <c r="B72" s="8" t="s">
        <v>150</v>
      </c>
      <c r="C72" s="8">
        <v>20</v>
      </c>
      <c r="D72" s="8" t="s">
        <v>156</v>
      </c>
      <c r="E72" s="8"/>
      <c r="F72" s="7" t="s">
        <v>166</v>
      </c>
    </row>
    <row r="73" spans="1:6" x14ac:dyDescent="0.3">
      <c r="A73" s="7" t="s">
        <v>167</v>
      </c>
      <c r="B73" s="8" t="s">
        <v>163</v>
      </c>
      <c r="C73" s="8"/>
      <c r="D73" s="8" t="s">
        <v>156</v>
      </c>
      <c r="E73" s="8"/>
      <c r="F73" s="7" t="s">
        <v>168</v>
      </c>
    </row>
    <row r="76" spans="1:6" x14ac:dyDescent="0.3">
      <c r="A76" s="2" t="s">
        <v>0</v>
      </c>
      <c r="B76" s="29" t="s">
        <v>145</v>
      </c>
      <c r="C76" s="29"/>
      <c r="D76" s="29"/>
      <c r="E76" s="29"/>
      <c r="F76" s="29"/>
    </row>
    <row r="77" spans="1:6" x14ac:dyDescent="0.3">
      <c r="A77" s="2" t="s">
        <v>2</v>
      </c>
      <c r="B77" s="29" t="s">
        <v>219</v>
      </c>
      <c r="C77" s="29"/>
      <c r="D77" s="29"/>
      <c r="E77" s="29"/>
      <c r="F77" s="29"/>
    </row>
    <row r="78" spans="1:6" x14ac:dyDescent="0.3">
      <c r="A78" s="2" t="s">
        <v>4</v>
      </c>
      <c r="B78" s="29" t="s">
        <v>220</v>
      </c>
      <c r="C78" s="29"/>
      <c r="D78" s="29"/>
      <c r="E78" s="29"/>
      <c r="F78" s="29"/>
    </row>
    <row r="79" spans="1:6" x14ac:dyDescent="0.3">
      <c r="A79" s="5" t="s">
        <v>6</v>
      </c>
      <c r="B79" s="5" t="s">
        <v>7</v>
      </c>
      <c r="C79" s="5" t="s">
        <v>8</v>
      </c>
      <c r="D79" s="5" t="s">
        <v>9</v>
      </c>
      <c r="E79" s="5" t="s">
        <v>10</v>
      </c>
      <c r="F79" s="5" t="s">
        <v>148</v>
      </c>
    </row>
    <row r="80" spans="1:6" x14ac:dyDescent="0.3">
      <c r="A80" s="7" t="s">
        <v>221</v>
      </c>
      <c r="B80" s="8" t="s">
        <v>150</v>
      </c>
      <c r="C80" s="8">
        <v>15</v>
      </c>
      <c r="D80" s="8" t="s">
        <v>151</v>
      </c>
      <c r="E80" s="8" t="s">
        <v>152</v>
      </c>
      <c r="F80" s="7" t="s">
        <v>222</v>
      </c>
    </row>
    <row r="81" spans="1:6" x14ac:dyDescent="0.3">
      <c r="A81" s="7" t="s">
        <v>223</v>
      </c>
      <c r="B81" s="8" t="s">
        <v>150</v>
      </c>
      <c r="C81" s="8">
        <v>10</v>
      </c>
      <c r="D81" s="8" t="s">
        <v>151</v>
      </c>
      <c r="E81" s="8" t="s">
        <v>152</v>
      </c>
      <c r="F81" s="7" t="s">
        <v>224</v>
      </c>
    </row>
    <row r="82" spans="1:6" x14ac:dyDescent="0.3">
      <c r="A82" s="7" t="s">
        <v>225</v>
      </c>
      <c r="B82" s="8" t="s">
        <v>150</v>
      </c>
      <c r="C82" s="8">
        <v>20</v>
      </c>
      <c r="D82" s="8" t="s">
        <v>151</v>
      </c>
      <c r="E82" s="8" t="s">
        <v>152</v>
      </c>
      <c r="F82" s="7" t="s">
        <v>226</v>
      </c>
    </row>
    <row r="83" spans="1:6" x14ac:dyDescent="0.3">
      <c r="A83" s="7" t="s">
        <v>227</v>
      </c>
      <c r="B83" s="8" t="s">
        <v>194</v>
      </c>
      <c r="C83" s="8">
        <v>16</v>
      </c>
      <c r="D83" s="8" t="s">
        <v>151</v>
      </c>
      <c r="E83" s="8" t="s">
        <v>152</v>
      </c>
      <c r="F83" s="7" t="s">
        <v>228</v>
      </c>
    </row>
    <row r="84" spans="1:6" x14ac:dyDescent="0.3">
      <c r="A84" s="7" t="s">
        <v>229</v>
      </c>
      <c r="B84" s="8" t="s">
        <v>150</v>
      </c>
      <c r="C84" s="8">
        <v>15</v>
      </c>
      <c r="D84" s="8" t="s">
        <v>151</v>
      </c>
      <c r="E84" s="8" t="s">
        <v>152</v>
      </c>
      <c r="F84" s="7" t="s">
        <v>21</v>
      </c>
    </row>
    <row r="85" spans="1:6" x14ac:dyDescent="0.3">
      <c r="A85" s="7" t="s">
        <v>149</v>
      </c>
      <c r="B85" s="8" t="s">
        <v>150</v>
      </c>
      <c r="C85" s="8">
        <v>200</v>
      </c>
      <c r="D85" s="8" t="s">
        <v>151</v>
      </c>
      <c r="E85" s="8"/>
      <c r="F85" s="7" t="s">
        <v>24</v>
      </c>
    </row>
    <row r="86" spans="1:6" x14ac:dyDescent="0.3">
      <c r="A86" s="7" t="s">
        <v>230</v>
      </c>
      <c r="B86" s="8" t="s">
        <v>150</v>
      </c>
      <c r="C86" s="8">
        <v>5</v>
      </c>
      <c r="D86" s="8" t="s">
        <v>151</v>
      </c>
      <c r="E86" s="8"/>
      <c r="F86" s="7" t="s">
        <v>231</v>
      </c>
    </row>
    <row r="87" spans="1:6" x14ac:dyDescent="0.3">
      <c r="A87" s="7" t="s">
        <v>232</v>
      </c>
      <c r="B87" s="8" t="s">
        <v>150</v>
      </c>
      <c r="C87" s="8">
        <v>8</v>
      </c>
      <c r="D87" s="8" t="s">
        <v>151</v>
      </c>
      <c r="E87" s="8"/>
      <c r="F87" s="7" t="s">
        <v>233</v>
      </c>
    </row>
    <row r="88" spans="1:6" x14ac:dyDescent="0.3">
      <c r="A88" s="7" t="s">
        <v>234</v>
      </c>
      <c r="B88" s="8" t="s">
        <v>194</v>
      </c>
      <c r="C88" s="8">
        <v>16</v>
      </c>
      <c r="D88" s="8" t="s">
        <v>151</v>
      </c>
      <c r="E88" s="8"/>
      <c r="F88" s="7" t="s">
        <v>235</v>
      </c>
    </row>
    <row r="89" spans="1:6" x14ac:dyDescent="0.3">
      <c r="A89" s="7" t="s">
        <v>200</v>
      </c>
      <c r="B89" s="8" t="s">
        <v>194</v>
      </c>
      <c r="C89" s="8">
        <v>16</v>
      </c>
      <c r="D89" s="8" t="s">
        <v>151</v>
      </c>
      <c r="E89" s="8"/>
      <c r="F89" s="7" t="s">
        <v>201</v>
      </c>
    </row>
    <row r="90" spans="1:6" x14ac:dyDescent="0.3">
      <c r="A90" s="7" t="s">
        <v>236</v>
      </c>
      <c r="B90" s="8" t="s">
        <v>150</v>
      </c>
      <c r="C90" s="8">
        <v>50</v>
      </c>
      <c r="D90" s="8" t="s">
        <v>156</v>
      </c>
      <c r="E90" s="8"/>
      <c r="F90" s="7" t="s">
        <v>30</v>
      </c>
    </row>
    <row r="91" spans="1:6" x14ac:dyDescent="0.3">
      <c r="A91" s="7" t="s">
        <v>237</v>
      </c>
      <c r="B91" s="8" t="s">
        <v>163</v>
      </c>
      <c r="C91" s="8"/>
      <c r="D91" s="8" t="s">
        <v>156</v>
      </c>
      <c r="E91" s="8"/>
      <c r="F91" s="7" t="s">
        <v>238</v>
      </c>
    </row>
    <row r="92" spans="1:6" x14ac:dyDescent="0.3">
      <c r="A92" s="7" t="s">
        <v>239</v>
      </c>
      <c r="B92" s="8" t="s">
        <v>150</v>
      </c>
      <c r="C92" s="8">
        <v>50</v>
      </c>
      <c r="D92" s="8" t="s">
        <v>156</v>
      </c>
      <c r="E92" s="8"/>
      <c r="F92" s="7" t="s">
        <v>240</v>
      </c>
    </row>
    <row r="93" spans="1:6" x14ac:dyDescent="0.3">
      <c r="A93" s="7" t="s">
        <v>241</v>
      </c>
      <c r="B93" s="8" t="s">
        <v>203</v>
      </c>
      <c r="C93" s="8">
        <v>8</v>
      </c>
      <c r="D93" s="8" t="s">
        <v>156</v>
      </c>
      <c r="E93" s="8"/>
      <c r="F93" s="7" t="s">
        <v>242</v>
      </c>
    </row>
    <row r="94" spans="1:6" x14ac:dyDescent="0.3">
      <c r="A94" s="7" t="s">
        <v>243</v>
      </c>
      <c r="B94" s="8" t="s">
        <v>150</v>
      </c>
      <c r="C94" s="8">
        <v>50</v>
      </c>
      <c r="D94" s="8" t="s">
        <v>156</v>
      </c>
      <c r="E94" s="8"/>
      <c r="F94" s="7" t="s">
        <v>244</v>
      </c>
    </row>
    <row r="95" spans="1:6" x14ac:dyDescent="0.3">
      <c r="A95" s="7" t="s">
        <v>160</v>
      </c>
      <c r="B95" s="8" t="s">
        <v>150</v>
      </c>
      <c r="C95" s="8">
        <v>20</v>
      </c>
      <c r="D95" s="8" t="s">
        <v>156</v>
      </c>
      <c r="E95" s="8"/>
      <c r="F95" s="7" t="s">
        <v>161</v>
      </c>
    </row>
    <row r="96" spans="1:6" x14ac:dyDescent="0.3">
      <c r="A96" s="7" t="s">
        <v>162</v>
      </c>
      <c r="B96" s="8" t="s">
        <v>163</v>
      </c>
      <c r="C96" s="8"/>
      <c r="D96" s="8" t="s">
        <v>156</v>
      </c>
      <c r="E96" s="8"/>
      <c r="F96" s="7" t="s">
        <v>164</v>
      </c>
    </row>
    <row r="97" spans="1:6" x14ac:dyDescent="0.3">
      <c r="A97" s="7" t="s">
        <v>165</v>
      </c>
      <c r="B97" s="8" t="s">
        <v>150</v>
      </c>
      <c r="C97" s="8">
        <v>20</v>
      </c>
      <c r="D97" s="8" t="s">
        <v>156</v>
      </c>
      <c r="E97" s="8"/>
      <c r="F97" s="7" t="s">
        <v>166</v>
      </c>
    </row>
    <row r="98" spans="1:6" x14ac:dyDescent="0.3">
      <c r="A98" s="7" t="s">
        <v>167</v>
      </c>
      <c r="B98" s="8" t="s">
        <v>163</v>
      </c>
      <c r="C98" s="8"/>
      <c r="D98" s="8" t="s">
        <v>156</v>
      </c>
      <c r="E98" s="8"/>
      <c r="F98" s="7" t="s">
        <v>168</v>
      </c>
    </row>
    <row r="101" spans="1:6" x14ac:dyDescent="0.3">
      <c r="A101" s="2" t="s">
        <v>0</v>
      </c>
      <c r="B101" s="29" t="s">
        <v>145</v>
      </c>
      <c r="C101" s="29"/>
      <c r="D101" s="29"/>
      <c r="E101" s="29"/>
      <c r="F101" s="29"/>
    </row>
    <row r="102" spans="1:6" x14ac:dyDescent="0.3">
      <c r="A102" s="2" t="s">
        <v>2</v>
      </c>
      <c r="B102" s="29" t="s">
        <v>245</v>
      </c>
      <c r="C102" s="29"/>
      <c r="D102" s="29"/>
      <c r="E102" s="29"/>
      <c r="F102" s="29"/>
    </row>
    <row r="103" spans="1:6" x14ac:dyDescent="0.3">
      <c r="A103" s="2" t="s">
        <v>4</v>
      </c>
      <c r="B103" s="29" t="s">
        <v>246</v>
      </c>
      <c r="C103" s="29"/>
      <c r="D103" s="29"/>
      <c r="E103" s="29"/>
      <c r="F103" s="29"/>
    </row>
    <row r="104" spans="1:6" x14ac:dyDescent="0.3">
      <c r="A104" s="5" t="s">
        <v>6</v>
      </c>
      <c r="B104" s="5" t="s">
        <v>7</v>
      </c>
      <c r="C104" s="5" t="s">
        <v>8</v>
      </c>
      <c r="D104" s="5" t="s">
        <v>9</v>
      </c>
      <c r="E104" s="5" t="s">
        <v>10</v>
      </c>
      <c r="F104" s="5" t="s">
        <v>148</v>
      </c>
    </row>
    <row r="105" spans="1:6" x14ac:dyDescent="0.3">
      <c r="A105" s="7" t="s">
        <v>149</v>
      </c>
      <c r="B105" s="8" t="s">
        <v>150</v>
      </c>
      <c r="C105" s="8">
        <v>200</v>
      </c>
      <c r="D105" s="8" t="s">
        <v>151</v>
      </c>
      <c r="E105" s="8" t="s">
        <v>152</v>
      </c>
      <c r="F105" s="7" t="s">
        <v>24</v>
      </c>
    </row>
    <row r="106" spans="1:6" x14ac:dyDescent="0.3">
      <c r="A106" s="7" t="s">
        <v>221</v>
      </c>
      <c r="B106" s="8" t="s">
        <v>150</v>
      </c>
      <c r="C106" s="8">
        <v>15</v>
      </c>
      <c r="D106" s="8" t="s">
        <v>156</v>
      </c>
      <c r="E106" s="8"/>
      <c r="F106" s="7" t="s">
        <v>222</v>
      </c>
    </row>
    <row r="107" spans="1:6" x14ac:dyDescent="0.3">
      <c r="A107" s="7" t="s">
        <v>223</v>
      </c>
      <c r="B107" s="8" t="s">
        <v>150</v>
      </c>
      <c r="C107" s="8">
        <v>10</v>
      </c>
      <c r="D107" s="8" t="s">
        <v>156</v>
      </c>
      <c r="E107" s="8"/>
      <c r="F107" s="7" t="s">
        <v>224</v>
      </c>
    </row>
    <row r="108" spans="1:6" x14ac:dyDescent="0.3">
      <c r="A108" s="7" t="s">
        <v>225</v>
      </c>
      <c r="B108" s="8" t="s">
        <v>150</v>
      </c>
      <c r="C108" s="8">
        <v>20</v>
      </c>
      <c r="D108" s="8" t="s">
        <v>156</v>
      </c>
      <c r="E108" s="8"/>
      <c r="F108" s="7" t="s">
        <v>226</v>
      </c>
    </row>
    <row r="109" spans="1:6" x14ac:dyDescent="0.3">
      <c r="A109" s="7" t="s">
        <v>227</v>
      </c>
      <c r="B109" s="8" t="s">
        <v>194</v>
      </c>
      <c r="C109" s="8">
        <v>16</v>
      </c>
      <c r="D109" s="8" t="s">
        <v>156</v>
      </c>
      <c r="E109" s="8"/>
      <c r="F109" s="7" t="s">
        <v>228</v>
      </c>
    </row>
    <row r="110" spans="1:6" x14ac:dyDescent="0.3">
      <c r="A110" s="7" t="s">
        <v>229</v>
      </c>
      <c r="B110" s="8" t="s">
        <v>150</v>
      </c>
      <c r="C110" s="8">
        <v>15</v>
      </c>
      <c r="D110" s="8" t="s">
        <v>156</v>
      </c>
      <c r="E110" s="8"/>
      <c r="F110" s="7" t="s">
        <v>21</v>
      </c>
    </row>
    <row r="111" spans="1:6" x14ac:dyDescent="0.3">
      <c r="A111" s="7" t="s">
        <v>230</v>
      </c>
      <c r="B111" s="8" t="s">
        <v>150</v>
      </c>
      <c r="C111" s="8">
        <v>5</v>
      </c>
      <c r="D111" s="8" t="s">
        <v>156</v>
      </c>
      <c r="E111" s="8"/>
      <c r="F111" s="7" t="s">
        <v>231</v>
      </c>
    </row>
    <row r="112" spans="1:6" x14ac:dyDescent="0.3">
      <c r="A112" s="7" t="s">
        <v>232</v>
      </c>
      <c r="B112" s="8" t="s">
        <v>150</v>
      </c>
      <c r="C112" s="8">
        <v>8</v>
      </c>
      <c r="D112" s="8" t="s">
        <v>156</v>
      </c>
      <c r="E112" s="8"/>
      <c r="F112" s="7" t="s">
        <v>247</v>
      </c>
    </row>
    <row r="113" spans="1:6" x14ac:dyDescent="0.3">
      <c r="A113" s="7" t="s">
        <v>234</v>
      </c>
      <c r="B113" s="8" t="s">
        <v>194</v>
      </c>
      <c r="C113" s="8">
        <v>16</v>
      </c>
      <c r="D113" s="8" t="s">
        <v>156</v>
      </c>
      <c r="E113" s="8"/>
      <c r="F113" s="7" t="s">
        <v>235</v>
      </c>
    </row>
    <row r="114" spans="1:6" x14ac:dyDescent="0.3">
      <c r="A114" s="7" t="s">
        <v>200</v>
      </c>
      <c r="B114" s="8" t="s">
        <v>194</v>
      </c>
      <c r="C114" s="8">
        <v>16</v>
      </c>
      <c r="D114" s="8" t="s">
        <v>156</v>
      </c>
      <c r="E114" s="8"/>
      <c r="F114" s="7" t="s">
        <v>201</v>
      </c>
    </row>
    <row r="115" spans="1:6" x14ac:dyDescent="0.3">
      <c r="A115" s="7" t="s">
        <v>236</v>
      </c>
      <c r="B115" s="8" t="s">
        <v>150</v>
      </c>
      <c r="C115" s="8">
        <v>50</v>
      </c>
      <c r="D115" s="8" t="s">
        <v>156</v>
      </c>
      <c r="E115" s="8"/>
      <c r="F115" s="7" t="s">
        <v>30</v>
      </c>
    </row>
    <row r="116" spans="1:6" x14ac:dyDescent="0.3">
      <c r="A116" s="7" t="s">
        <v>248</v>
      </c>
      <c r="B116" s="8" t="s">
        <v>150</v>
      </c>
      <c r="C116" s="8">
        <v>20</v>
      </c>
      <c r="D116" s="8" t="s">
        <v>156</v>
      </c>
      <c r="E116" s="8"/>
      <c r="F116" s="7" t="s">
        <v>249</v>
      </c>
    </row>
    <row r="117" spans="1:6" x14ac:dyDescent="0.3">
      <c r="A117" s="7" t="s">
        <v>250</v>
      </c>
      <c r="B117" s="8" t="s">
        <v>163</v>
      </c>
      <c r="C117" s="8"/>
      <c r="D117" s="8" t="s">
        <v>156</v>
      </c>
      <c r="E117" s="8"/>
      <c r="F117" s="7" t="s">
        <v>251</v>
      </c>
    </row>
    <row r="118" spans="1:6" x14ac:dyDescent="0.3">
      <c r="A118" s="7" t="s">
        <v>252</v>
      </c>
      <c r="B118" s="8" t="s">
        <v>150</v>
      </c>
      <c r="C118" s="8">
        <v>50</v>
      </c>
      <c r="D118" s="8" t="s">
        <v>156</v>
      </c>
      <c r="E118" s="8"/>
      <c r="F118" s="7" t="s">
        <v>253</v>
      </c>
    </row>
    <row r="119" spans="1:6" x14ac:dyDescent="0.3">
      <c r="A119" s="7" t="s">
        <v>254</v>
      </c>
      <c r="B119" s="8" t="s">
        <v>150</v>
      </c>
      <c r="C119" s="8">
        <v>50</v>
      </c>
      <c r="D119" s="8" t="s">
        <v>156</v>
      </c>
      <c r="E119" s="8"/>
      <c r="F119" s="7" t="s">
        <v>255</v>
      </c>
    </row>
    <row r="120" spans="1:6" x14ac:dyDescent="0.3">
      <c r="A120" s="7" t="s">
        <v>256</v>
      </c>
      <c r="B120" s="8" t="s">
        <v>150</v>
      </c>
      <c r="C120" s="8">
        <v>20</v>
      </c>
      <c r="D120" s="8" t="s">
        <v>156</v>
      </c>
      <c r="E120" s="8"/>
      <c r="F120" s="7" t="s">
        <v>257</v>
      </c>
    </row>
    <row r="121" spans="1:6" x14ac:dyDescent="0.3">
      <c r="A121" s="7" t="s">
        <v>258</v>
      </c>
      <c r="B121" s="8" t="s">
        <v>163</v>
      </c>
      <c r="C121" s="8"/>
      <c r="D121" s="8" t="s">
        <v>156</v>
      </c>
      <c r="E121" s="8"/>
      <c r="F121" s="7" t="s">
        <v>259</v>
      </c>
    </row>
    <row r="122" spans="1:6" x14ac:dyDescent="0.3">
      <c r="A122" s="7" t="s">
        <v>260</v>
      </c>
      <c r="B122" s="8" t="s">
        <v>150</v>
      </c>
      <c r="C122" s="8">
        <v>50</v>
      </c>
      <c r="D122" s="8" t="s">
        <v>156</v>
      </c>
      <c r="E122" s="8"/>
      <c r="F122" s="7" t="s">
        <v>261</v>
      </c>
    </row>
    <row r="123" spans="1:6" x14ac:dyDescent="0.3">
      <c r="A123" s="7" t="s">
        <v>262</v>
      </c>
      <c r="B123" s="8" t="s">
        <v>150</v>
      </c>
      <c r="C123" s="8">
        <v>50</v>
      </c>
      <c r="D123" s="8" t="s">
        <v>156</v>
      </c>
      <c r="E123" s="8"/>
      <c r="F123" s="7" t="s">
        <v>263</v>
      </c>
    </row>
    <row r="124" spans="1:6" x14ac:dyDescent="0.3">
      <c r="A124" s="7" t="s">
        <v>264</v>
      </c>
      <c r="B124" s="8" t="s">
        <v>150</v>
      </c>
      <c r="C124" s="8">
        <v>20</v>
      </c>
      <c r="D124" s="8" t="s">
        <v>156</v>
      </c>
      <c r="E124" s="8"/>
      <c r="F124" s="7" t="s">
        <v>265</v>
      </c>
    </row>
    <row r="125" spans="1:6" x14ac:dyDescent="0.3">
      <c r="A125" s="7" t="s">
        <v>266</v>
      </c>
      <c r="B125" s="8" t="s">
        <v>163</v>
      </c>
      <c r="C125" s="8"/>
      <c r="D125" s="8" t="s">
        <v>156</v>
      </c>
      <c r="E125" s="8"/>
      <c r="F125" s="7" t="s">
        <v>267</v>
      </c>
    </row>
    <row r="126" spans="1:6" x14ac:dyDescent="0.3">
      <c r="A126" s="7" t="s">
        <v>268</v>
      </c>
      <c r="B126" s="8" t="s">
        <v>150</v>
      </c>
      <c r="C126" s="8">
        <v>50</v>
      </c>
      <c r="D126" s="8" t="s">
        <v>156</v>
      </c>
      <c r="E126" s="8"/>
      <c r="F126" s="7" t="s">
        <v>269</v>
      </c>
    </row>
    <row r="127" spans="1:6" x14ac:dyDescent="0.3">
      <c r="A127" s="7" t="s">
        <v>270</v>
      </c>
      <c r="B127" s="8" t="s">
        <v>150</v>
      </c>
      <c r="C127" s="8">
        <v>50</v>
      </c>
      <c r="D127" s="8" t="s">
        <v>156</v>
      </c>
      <c r="E127" s="8"/>
      <c r="F127" s="7" t="s">
        <v>271</v>
      </c>
    </row>
    <row r="128" spans="1:6" x14ac:dyDescent="0.3">
      <c r="A128" s="7" t="s">
        <v>160</v>
      </c>
      <c r="B128" s="8" t="s">
        <v>150</v>
      </c>
      <c r="C128" s="8">
        <v>20</v>
      </c>
      <c r="D128" s="8" t="s">
        <v>156</v>
      </c>
      <c r="E128" s="8"/>
      <c r="F128" s="7" t="s">
        <v>161</v>
      </c>
    </row>
    <row r="129" spans="1:6" x14ac:dyDescent="0.3">
      <c r="A129" s="7" t="s">
        <v>162</v>
      </c>
      <c r="B129" s="8" t="s">
        <v>163</v>
      </c>
      <c r="C129" s="8"/>
      <c r="D129" s="8" t="s">
        <v>156</v>
      </c>
      <c r="E129" s="8"/>
      <c r="F129" s="7" t="s">
        <v>164</v>
      </c>
    </row>
    <row r="130" spans="1:6" x14ac:dyDescent="0.3">
      <c r="A130" s="7" t="s">
        <v>165</v>
      </c>
      <c r="B130" s="8" t="s">
        <v>150</v>
      </c>
      <c r="C130" s="8">
        <v>20</v>
      </c>
      <c r="D130" s="8" t="s">
        <v>156</v>
      </c>
      <c r="E130" s="8"/>
      <c r="F130" s="7" t="s">
        <v>166</v>
      </c>
    </row>
    <row r="131" spans="1:6" x14ac:dyDescent="0.3">
      <c r="A131" s="7" t="s">
        <v>167</v>
      </c>
      <c r="B131" s="8" t="s">
        <v>163</v>
      </c>
      <c r="C131" s="8"/>
      <c r="D131" s="8" t="s">
        <v>156</v>
      </c>
      <c r="E131" s="8"/>
      <c r="F131" s="7" t="s">
        <v>168</v>
      </c>
    </row>
    <row r="134" spans="1:6" x14ac:dyDescent="0.3">
      <c r="A134" s="2" t="s">
        <v>0</v>
      </c>
      <c r="B134" s="29" t="s">
        <v>145</v>
      </c>
      <c r="C134" s="29"/>
      <c r="D134" s="29"/>
      <c r="E134" s="29"/>
      <c r="F134" s="29"/>
    </row>
    <row r="135" spans="1:6" x14ac:dyDescent="0.3">
      <c r="A135" s="2" t="s">
        <v>2</v>
      </c>
      <c r="B135" s="29" t="s">
        <v>272</v>
      </c>
      <c r="C135" s="29"/>
      <c r="D135" s="29"/>
      <c r="E135" s="29"/>
      <c r="F135" s="29"/>
    </row>
    <row r="136" spans="1:6" x14ac:dyDescent="0.3">
      <c r="A136" s="2" t="s">
        <v>4</v>
      </c>
      <c r="B136" s="29" t="s">
        <v>273</v>
      </c>
      <c r="C136" s="29"/>
      <c r="D136" s="29"/>
      <c r="E136" s="29"/>
      <c r="F136" s="29"/>
    </row>
    <row r="137" spans="1:6" x14ac:dyDescent="0.3">
      <c r="A137" s="5" t="s">
        <v>6</v>
      </c>
      <c r="B137" s="5" t="s">
        <v>7</v>
      </c>
      <c r="C137" s="5" t="s">
        <v>8</v>
      </c>
      <c r="D137" s="5" t="s">
        <v>9</v>
      </c>
      <c r="E137" s="5" t="s">
        <v>10</v>
      </c>
      <c r="F137" s="5" t="s">
        <v>148</v>
      </c>
    </row>
    <row r="138" spans="1:6" x14ac:dyDescent="0.3">
      <c r="A138" s="7" t="s">
        <v>248</v>
      </c>
      <c r="B138" s="8" t="s">
        <v>150</v>
      </c>
      <c r="C138" s="8">
        <v>20</v>
      </c>
      <c r="D138" s="8" t="s">
        <v>151</v>
      </c>
      <c r="E138" s="8" t="s">
        <v>152</v>
      </c>
      <c r="F138" s="7" t="s">
        <v>274</v>
      </c>
    </row>
    <row r="139" spans="1:6" x14ac:dyDescent="0.3">
      <c r="A139" s="7" t="s">
        <v>275</v>
      </c>
      <c r="B139" s="8" t="s">
        <v>150</v>
      </c>
      <c r="C139" s="8">
        <v>20</v>
      </c>
      <c r="D139" s="8" t="s">
        <v>151</v>
      </c>
      <c r="E139" s="8"/>
      <c r="F139" s="7" t="s">
        <v>276</v>
      </c>
    </row>
    <row r="140" spans="1:6" x14ac:dyDescent="0.3">
      <c r="A140" s="7" t="s">
        <v>277</v>
      </c>
      <c r="B140" s="8" t="s">
        <v>150</v>
      </c>
      <c r="C140" s="8">
        <v>50</v>
      </c>
      <c r="D140" s="8" t="s">
        <v>151</v>
      </c>
      <c r="E140" s="8"/>
      <c r="F140" s="7" t="s">
        <v>278</v>
      </c>
    </row>
    <row r="141" spans="1:6" x14ac:dyDescent="0.3">
      <c r="A141" s="7" t="s">
        <v>279</v>
      </c>
      <c r="B141" s="8" t="s">
        <v>150</v>
      </c>
      <c r="C141" s="8">
        <v>20</v>
      </c>
      <c r="D141" s="8" t="s">
        <v>156</v>
      </c>
      <c r="E141" s="8"/>
      <c r="F141" s="7" t="s">
        <v>280</v>
      </c>
    </row>
    <row r="142" spans="1:6" x14ac:dyDescent="0.3">
      <c r="A142" s="7" t="s">
        <v>281</v>
      </c>
      <c r="B142" s="8" t="s">
        <v>150</v>
      </c>
      <c r="C142" s="8">
        <v>50</v>
      </c>
      <c r="D142" s="8" t="s">
        <v>156</v>
      </c>
      <c r="E142" s="8"/>
      <c r="F142" s="7" t="s">
        <v>282</v>
      </c>
    </row>
    <row r="143" spans="1:6" x14ac:dyDescent="0.3">
      <c r="A143" s="7" t="s">
        <v>160</v>
      </c>
      <c r="B143" s="8" t="s">
        <v>150</v>
      </c>
      <c r="C143" s="8">
        <v>20</v>
      </c>
      <c r="D143" s="8" t="s">
        <v>156</v>
      </c>
      <c r="E143" s="8"/>
      <c r="F143" s="7" t="s">
        <v>161</v>
      </c>
    </row>
    <row r="144" spans="1:6" x14ac:dyDescent="0.3">
      <c r="A144" s="7" t="s">
        <v>162</v>
      </c>
      <c r="B144" s="8" t="s">
        <v>163</v>
      </c>
      <c r="C144" s="8"/>
      <c r="D144" s="8" t="s">
        <v>156</v>
      </c>
      <c r="E144" s="8"/>
      <c r="F144" s="7" t="s">
        <v>164</v>
      </c>
    </row>
    <row r="145" spans="1:6" x14ac:dyDescent="0.3">
      <c r="A145" s="7" t="s">
        <v>283</v>
      </c>
      <c r="B145" s="8" t="s">
        <v>150</v>
      </c>
      <c r="C145" s="8">
        <v>14</v>
      </c>
      <c r="D145" s="8" t="s">
        <v>156</v>
      </c>
      <c r="E145" s="8"/>
      <c r="F145" s="7" t="s">
        <v>284</v>
      </c>
    </row>
    <row r="146" spans="1:6" x14ac:dyDescent="0.3">
      <c r="A146" s="7" t="s">
        <v>165</v>
      </c>
      <c r="B146" s="8" t="s">
        <v>150</v>
      </c>
      <c r="C146" s="8">
        <v>20</v>
      </c>
      <c r="D146" s="8" t="s">
        <v>156</v>
      </c>
      <c r="E146" s="8"/>
      <c r="F146" s="7" t="s">
        <v>166</v>
      </c>
    </row>
    <row r="147" spans="1:6" x14ac:dyDescent="0.3">
      <c r="A147" s="7" t="s">
        <v>167</v>
      </c>
      <c r="B147" s="8" t="s">
        <v>163</v>
      </c>
      <c r="C147" s="8"/>
      <c r="D147" s="8" t="s">
        <v>156</v>
      </c>
      <c r="E147" s="8"/>
      <c r="F147" s="7" t="s">
        <v>168</v>
      </c>
    </row>
    <row r="150" spans="1:6" x14ac:dyDescent="0.3">
      <c r="A150" s="2" t="s">
        <v>0</v>
      </c>
      <c r="B150" s="29" t="s">
        <v>145</v>
      </c>
      <c r="C150" s="29"/>
      <c r="D150" s="29"/>
      <c r="E150" s="29"/>
      <c r="F150" s="29"/>
    </row>
    <row r="151" spans="1:6" x14ac:dyDescent="0.3">
      <c r="A151" s="2" t="s">
        <v>2</v>
      </c>
      <c r="B151" s="29" t="s">
        <v>285</v>
      </c>
      <c r="C151" s="29"/>
      <c r="D151" s="29"/>
      <c r="E151" s="29"/>
      <c r="F151" s="29"/>
    </row>
    <row r="152" spans="1:6" x14ac:dyDescent="0.3">
      <c r="A152" s="2" t="s">
        <v>4</v>
      </c>
      <c r="B152" s="29" t="s">
        <v>286</v>
      </c>
      <c r="C152" s="29"/>
      <c r="D152" s="29"/>
      <c r="E152" s="29"/>
      <c r="F152" s="29"/>
    </row>
    <row r="153" spans="1:6" x14ac:dyDescent="0.3">
      <c r="A153" s="5" t="s">
        <v>6</v>
      </c>
      <c r="B153" s="5" t="s">
        <v>7</v>
      </c>
      <c r="C153" s="5" t="s">
        <v>8</v>
      </c>
      <c r="D153" s="5" t="s">
        <v>9</v>
      </c>
      <c r="E153" s="5" t="s">
        <v>10</v>
      </c>
      <c r="F153" s="5" t="s">
        <v>148</v>
      </c>
    </row>
    <row r="154" spans="1:6" x14ac:dyDescent="0.3">
      <c r="A154" s="7" t="s">
        <v>149</v>
      </c>
      <c r="B154" s="8" t="s">
        <v>150</v>
      </c>
      <c r="C154" s="8">
        <v>200</v>
      </c>
      <c r="D154" s="8" t="s">
        <v>151</v>
      </c>
      <c r="E154" s="8" t="s">
        <v>152</v>
      </c>
      <c r="F154" s="7" t="s">
        <v>24</v>
      </c>
    </row>
    <row r="155" spans="1:6" x14ac:dyDescent="0.3">
      <c r="A155" s="7" t="s">
        <v>287</v>
      </c>
      <c r="B155" s="8" t="s">
        <v>155</v>
      </c>
      <c r="C155" s="8"/>
      <c r="D155" s="8" t="s">
        <v>156</v>
      </c>
      <c r="E155" s="8"/>
      <c r="F155" s="7" t="s">
        <v>288</v>
      </c>
    </row>
    <row r="156" spans="1:6" x14ac:dyDescent="0.3">
      <c r="A156" s="7" t="s">
        <v>289</v>
      </c>
      <c r="B156" s="8" t="s">
        <v>155</v>
      </c>
      <c r="C156" s="8"/>
      <c r="D156" s="8" t="s">
        <v>156</v>
      </c>
      <c r="E156" s="8"/>
      <c r="F156" s="7" t="s">
        <v>290</v>
      </c>
    </row>
    <row r="157" spans="1:6" x14ac:dyDescent="0.3">
      <c r="A157" s="7" t="s">
        <v>160</v>
      </c>
      <c r="B157" s="8" t="s">
        <v>150</v>
      </c>
      <c r="C157" s="8">
        <v>20</v>
      </c>
      <c r="D157" s="8" t="s">
        <v>156</v>
      </c>
      <c r="E157" s="8"/>
      <c r="F157" s="7" t="s">
        <v>161</v>
      </c>
    </row>
    <row r="158" spans="1:6" x14ac:dyDescent="0.3">
      <c r="A158" s="7" t="s">
        <v>162</v>
      </c>
      <c r="B158" s="8" t="s">
        <v>163</v>
      </c>
      <c r="C158" s="8"/>
      <c r="D158" s="8" t="s">
        <v>156</v>
      </c>
      <c r="E158" s="8"/>
      <c r="F158" s="7" t="s">
        <v>164</v>
      </c>
    </row>
    <row r="159" spans="1:6" x14ac:dyDescent="0.3">
      <c r="A159" s="7" t="s">
        <v>165</v>
      </c>
      <c r="B159" s="8" t="s">
        <v>150</v>
      </c>
      <c r="C159" s="8">
        <v>20</v>
      </c>
      <c r="D159" s="8" t="s">
        <v>156</v>
      </c>
      <c r="E159" s="8"/>
      <c r="F159" s="7" t="s">
        <v>166</v>
      </c>
    </row>
    <row r="160" spans="1:6" x14ac:dyDescent="0.3">
      <c r="A160" s="7" t="s">
        <v>167</v>
      </c>
      <c r="B160" s="8" t="s">
        <v>163</v>
      </c>
      <c r="C160" s="8"/>
      <c r="D160" s="8" t="s">
        <v>156</v>
      </c>
      <c r="E160" s="8"/>
      <c r="F160" s="7" t="s">
        <v>168</v>
      </c>
    </row>
    <row r="163" spans="1:6" x14ac:dyDescent="0.3">
      <c r="A163" s="2" t="s">
        <v>0</v>
      </c>
      <c r="B163" s="29" t="s">
        <v>145</v>
      </c>
      <c r="C163" s="29"/>
      <c r="D163" s="29"/>
      <c r="E163" s="29"/>
      <c r="F163" s="29"/>
    </row>
    <row r="164" spans="1:6" x14ac:dyDescent="0.3">
      <c r="A164" s="2" t="s">
        <v>2</v>
      </c>
      <c r="B164" s="29" t="s">
        <v>291</v>
      </c>
      <c r="C164" s="29"/>
      <c r="D164" s="29"/>
      <c r="E164" s="29"/>
      <c r="F164" s="29"/>
    </row>
    <row r="165" spans="1:6" x14ac:dyDescent="0.3">
      <c r="A165" s="2" t="s">
        <v>4</v>
      </c>
      <c r="B165" s="29" t="s">
        <v>292</v>
      </c>
      <c r="C165" s="29"/>
      <c r="D165" s="29"/>
      <c r="E165" s="29"/>
      <c r="F165" s="29"/>
    </row>
    <row r="166" spans="1:6" x14ac:dyDescent="0.3">
      <c r="A166" s="5" t="s">
        <v>6</v>
      </c>
      <c r="B166" s="5" t="s">
        <v>7</v>
      </c>
      <c r="C166" s="5" t="s">
        <v>8</v>
      </c>
      <c r="D166" s="5" t="s">
        <v>9</v>
      </c>
      <c r="E166" s="5" t="s">
        <v>10</v>
      </c>
      <c r="F166" s="5" t="s">
        <v>148</v>
      </c>
    </row>
    <row r="167" spans="1:6" x14ac:dyDescent="0.3">
      <c r="A167" s="7" t="s">
        <v>248</v>
      </c>
      <c r="B167" s="8" t="s">
        <v>150</v>
      </c>
      <c r="C167" s="8">
        <v>20</v>
      </c>
      <c r="D167" s="8" t="s">
        <v>151</v>
      </c>
      <c r="E167" s="8" t="s">
        <v>152</v>
      </c>
      <c r="F167" s="7" t="s">
        <v>249</v>
      </c>
    </row>
    <row r="168" spans="1:6" x14ac:dyDescent="0.3">
      <c r="A168" s="7" t="s">
        <v>279</v>
      </c>
      <c r="B168" s="8" t="s">
        <v>150</v>
      </c>
      <c r="C168" s="8">
        <v>20</v>
      </c>
      <c r="D168" s="8" t="s">
        <v>151</v>
      </c>
      <c r="E168" s="8" t="s">
        <v>152</v>
      </c>
      <c r="F168" s="7" t="s">
        <v>280</v>
      </c>
    </row>
    <row r="169" spans="1:6" x14ac:dyDescent="0.3">
      <c r="A169" s="7" t="s">
        <v>205</v>
      </c>
      <c r="B169" s="8" t="s">
        <v>150</v>
      </c>
      <c r="C169" s="8">
        <v>14</v>
      </c>
      <c r="D169" s="8" t="s">
        <v>151</v>
      </c>
      <c r="E169" s="8" t="s">
        <v>152</v>
      </c>
      <c r="F169" s="7" t="s">
        <v>206</v>
      </c>
    </row>
    <row r="170" spans="1:6" x14ac:dyDescent="0.3">
      <c r="A170" s="7" t="s">
        <v>207</v>
      </c>
      <c r="B170" s="8" t="s">
        <v>150</v>
      </c>
      <c r="C170" s="8">
        <v>14</v>
      </c>
      <c r="D170" s="8" t="s">
        <v>151</v>
      </c>
      <c r="E170" s="8" t="s">
        <v>152</v>
      </c>
      <c r="F170" s="7" t="s">
        <v>208</v>
      </c>
    </row>
    <row r="171" spans="1:6" x14ac:dyDescent="0.3">
      <c r="A171" s="7" t="s">
        <v>160</v>
      </c>
      <c r="B171" s="8" t="s">
        <v>150</v>
      </c>
      <c r="C171" s="8">
        <v>20</v>
      </c>
      <c r="D171" s="8" t="s">
        <v>151</v>
      </c>
      <c r="E171" s="8"/>
      <c r="F171" s="7" t="s">
        <v>161</v>
      </c>
    </row>
    <row r="172" spans="1:6" x14ac:dyDescent="0.3">
      <c r="A172" s="7" t="s">
        <v>162</v>
      </c>
      <c r="B172" s="8" t="s">
        <v>163</v>
      </c>
      <c r="C172" s="8"/>
      <c r="D172" s="8" t="s">
        <v>151</v>
      </c>
      <c r="E172" s="8"/>
      <c r="F172" s="7" t="s">
        <v>164</v>
      </c>
    </row>
    <row r="173" spans="1:6" x14ac:dyDescent="0.3">
      <c r="A173" s="7" t="s">
        <v>165</v>
      </c>
      <c r="B173" s="8" t="s">
        <v>150</v>
      </c>
      <c r="C173" s="8">
        <v>20</v>
      </c>
      <c r="D173" s="8" t="s">
        <v>151</v>
      </c>
      <c r="E173" s="8"/>
      <c r="F173" s="7" t="s">
        <v>166</v>
      </c>
    </row>
    <row r="174" spans="1:6" x14ac:dyDescent="0.3">
      <c r="A174" s="7" t="s">
        <v>167</v>
      </c>
      <c r="B174" s="8" t="s">
        <v>163</v>
      </c>
      <c r="C174" s="8"/>
      <c r="D174" s="8" t="s">
        <v>151</v>
      </c>
      <c r="E174" s="8"/>
      <c r="F174" s="7" t="s">
        <v>168</v>
      </c>
    </row>
  </sheetData>
  <mergeCells count="30">
    <mergeCell ref="B163:F163"/>
    <mergeCell ref="B164:F164"/>
    <mergeCell ref="B165:F165"/>
    <mergeCell ref="B134:F134"/>
    <mergeCell ref="B135:F135"/>
    <mergeCell ref="B136:F136"/>
    <mergeCell ref="B150:F150"/>
    <mergeCell ref="B151:F151"/>
    <mergeCell ref="B152:F152"/>
    <mergeCell ref="B103:F103"/>
    <mergeCell ref="B47:F47"/>
    <mergeCell ref="B48:F48"/>
    <mergeCell ref="B49:F49"/>
    <mergeCell ref="B63:F63"/>
    <mergeCell ref="B64:F64"/>
    <mergeCell ref="B65:F65"/>
    <mergeCell ref="B76:F76"/>
    <mergeCell ref="B77:F77"/>
    <mergeCell ref="B78:F78"/>
    <mergeCell ref="B101:F101"/>
    <mergeCell ref="B102:F102"/>
    <mergeCell ref="B28:F28"/>
    <mergeCell ref="B1:F1"/>
    <mergeCell ref="B2:F2"/>
    <mergeCell ref="B3:F3"/>
    <mergeCell ref="B14:F14"/>
    <mergeCell ref="B15:F15"/>
    <mergeCell ref="B16:F16"/>
    <mergeCell ref="B26:F26"/>
    <mergeCell ref="B27:F27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3abd49-4fe2-4fcd-8cba-b5fa6069204b" xsi:nil="true"/>
    <lcf76f155ced4ddcb4097134ff3c332f xmlns="c39c1476-cef7-4340-8f85-8c2e1865e4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92A83B4793CA0439DAAD7C292D3C6CA" ma:contentTypeVersion="12" ma:contentTypeDescription="새 문서를 만듭니다." ma:contentTypeScope="" ma:versionID="1c5a77d47d65ed7bd02172a04820562c">
  <xsd:schema xmlns:xsd="http://www.w3.org/2001/XMLSchema" xmlns:xs="http://www.w3.org/2001/XMLSchema" xmlns:p="http://schemas.microsoft.com/office/2006/metadata/properties" xmlns:ns2="c39c1476-cef7-4340-8f85-8c2e1865e49a" xmlns:ns3="da3abd49-4fe2-4fcd-8cba-b5fa6069204b" targetNamespace="http://schemas.microsoft.com/office/2006/metadata/properties" ma:root="true" ma:fieldsID="b8919c8eec847037f21940271fae9548" ns2:_="" ns3:_="">
    <xsd:import namespace="c39c1476-cef7-4340-8f85-8c2e1865e49a"/>
    <xsd:import namespace="da3abd49-4fe2-4fcd-8cba-b5fa606920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c1476-cef7-4340-8f85-8c2e1865e4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185b4cd5-c321-42bc-bf0e-f5e5f156fb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abd49-4fe2-4fcd-8cba-b5fa6069204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bd5d4f-c585-433e-a014-758fbef95c48}" ma:internalName="TaxCatchAll" ma:showField="CatchAllData" ma:web="da3abd49-4fe2-4fcd-8cba-b5fa60692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52C46C-55BC-4B0F-B018-288403C97F8B}">
  <ds:schemaRefs>
    <ds:schemaRef ds:uri="http://schemas.microsoft.com/office/2006/metadata/properties"/>
    <ds:schemaRef ds:uri="http://schemas.microsoft.com/office/infopath/2007/PartnerControls"/>
    <ds:schemaRef ds:uri="da3abd49-4fe2-4fcd-8cba-b5fa6069204b"/>
    <ds:schemaRef ds:uri="c39c1476-cef7-4340-8f85-8c2e1865e49a"/>
  </ds:schemaRefs>
</ds:datastoreItem>
</file>

<file path=customXml/itemProps2.xml><?xml version="1.0" encoding="utf-8"?>
<ds:datastoreItem xmlns:ds="http://schemas.openxmlformats.org/officeDocument/2006/customXml" ds:itemID="{7558DE54-E0C5-4849-BB80-3256CF619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9c1476-cef7-4340-8f85-8c2e1865e49a"/>
    <ds:schemaRef ds:uri="da3abd49-4fe2-4fcd-8cba-b5fa606920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F1B86-02EC-4ED9-BA42-222938AA48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edge</vt:lpstr>
      <vt:lpstr>central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강성인</dc:creator>
  <cp:keywords/>
  <dc:description/>
  <cp:lastModifiedBy>이재승</cp:lastModifiedBy>
  <cp:revision/>
  <dcterms:created xsi:type="dcterms:W3CDTF">2024-05-10T04:36:30Z</dcterms:created>
  <dcterms:modified xsi:type="dcterms:W3CDTF">2024-06-09T19:19:06Z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0x010100892A83B4793CA0439DAAD7C292D3C6CA</vt:lpwstr>
  </property>
  <property fmtid="{D5CDD505-2E9C-101B-9397-08002B2CF9AE}" pid="3" name="MediaServiceImageTags">
    <vt:lpwstr/>
  </property>
</Properties>
</file>